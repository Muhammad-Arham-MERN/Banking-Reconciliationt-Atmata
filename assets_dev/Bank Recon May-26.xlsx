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 filterPrivacy="1" codeName="ThisWorkbook" defaultThemeVersion="124226"/>
  <bookViews>
    <workbookView xWindow="0" yWindow="0" windowWidth="20490" windowHeight="7905" tabRatio="842" activeTab="1"/>
  </bookViews>
  <sheets>
    <sheet name="RECON FORMAT" sheetId="78" r:id="rId1"/>
    <sheet name="May-26" sheetId="136" r:id="rId2"/>
  </sheets>
  <definedNames>
    <definedName name="_xlnm.Print_Area" localSheetId="0">'RECON FORMAT'!$B$1:$H$43</definedName>
  </definedNames>
  <calcPr calcId="152511"/>
</workbook>
</file>

<file path=xl/calcChain.xml><?xml version="1.0" encoding="utf-8"?>
<calcChain xmlns="http://schemas.openxmlformats.org/spreadsheetml/2006/main">
  <c r="O21" i="136" l="1"/>
  <c r="O3" i="136"/>
  <c r="O22" i="136"/>
  <c r="O20" i="136"/>
  <c r="O19" i="136"/>
  <c r="O18" i="136"/>
  <c r="O17" i="136"/>
  <c r="O16" i="136"/>
  <c r="O15" i="136"/>
  <c r="O14" i="136"/>
  <c r="O13" i="136"/>
  <c r="O12" i="136"/>
  <c r="O11" i="136"/>
  <c r="O10" i="136"/>
  <c r="O9" i="136"/>
  <c r="O8" i="136"/>
  <c r="O7" i="136"/>
  <c r="O6" i="136"/>
  <c r="O5" i="136"/>
  <c r="O4" i="136"/>
  <c r="G33" i="78" l="1"/>
  <c r="G9" i="78"/>
  <c r="G12" i="78" l="1"/>
  <c r="G27" i="78" l="1"/>
  <c r="G17" i="78" l="1"/>
  <c r="G22" i="78"/>
  <c r="G29" i="78" l="1"/>
  <c r="G31" i="78" l="1"/>
</calcChain>
</file>

<file path=xl/sharedStrings.xml><?xml version="1.0" encoding="utf-8"?>
<sst xmlns="http://schemas.openxmlformats.org/spreadsheetml/2006/main" count="273" uniqueCount="144">
  <si>
    <t>GREAVES AIRCONDITIONING (PRIVATE) LIMITED</t>
  </si>
  <si>
    <t>BALANCE AS PER BANK STATEMENT</t>
  </si>
  <si>
    <t>LESS: UNPRESENTED CHEQUES</t>
  </si>
  <si>
    <t>S.No.</t>
  </si>
  <si>
    <t>V.No.</t>
  </si>
  <si>
    <t>DATE</t>
  </si>
  <si>
    <t>CHQ No.</t>
  </si>
  <si>
    <t>DESCRIPTION</t>
  </si>
  <si>
    <t>AMOUNT</t>
  </si>
  <si>
    <t>Remarks</t>
  </si>
  <si>
    <t>ADD: UNCLERED CHEQUES</t>
  </si>
  <si>
    <t>ADD: BANK DEBITED BUT NOT CREDITED IN CASH BOOK</t>
  </si>
  <si>
    <t>LESS: BANK CREDITED BUT NOT DEBITED IN CASH BOOK</t>
  </si>
  <si>
    <t>DOC/CHQ No.</t>
  </si>
  <si>
    <t>TOTAL</t>
  </si>
  <si>
    <t>DIFFERECNE</t>
  </si>
  <si>
    <t>BALANCE AS PER CASH BOOK</t>
  </si>
  <si>
    <t>Prepared By</t>
  </si>
  <si>
    <t>Review By</t>
  </si>
  <si>
    <t>Syed Ain-ul-Haq</t>
  </si>
  <si>
    <t xml:space="preserve">Approved By </t>
  </si>
  <si>
    <t>Manager Finance</t>
  </si>
  <si>
    <t>Posting Date</t>
  </si>
  <si>
    <t>Due Date</t>
  </si>
  <si>
    <t>Series</t>
  </si>
  <si>
    <t>Doc. No.</t>
  </si>
  <si>
    <t>Trans. No.</t>
  </si>
  <si>
    <t>Project</t>
  </si>
  <si>
    <t>Offset Acct</t>
  </si>
  <si>
    <t>Offset Acct Name</t>
  </si>
  <si>
    <t>Deb./Cred. (LC) (currency)</t>
  </si>
  <si>
    <t>Deb./Cred. (LC)</t>
  </si>
  <si>
    <t>Cumulative Balance (LC) (currency)</t>
  </si>
  <si>
    <t>Cumulative Balance (LC)</t>
  </si>
  <si>
    <t>Assets</t>
  </si>
  <si>
    <t>300370-04-01-001</t>
  </si>
  <si>
    <t>BANK-MCB 1279-4 (STOCK EXCH. ISB) (ISB, DFT, DFT)</t>
  </si>
  <si>
    <t>PKR</t>
  </si>
  <si>
    <t>300452-04-01-001</t>
  </si>
  <si>
    <t>ADVANCE TO EMPLOYEES (ISB, DFT, DFT)</t>
  </si>
  <si>
    <t>BANK ACCOUNT NO. 1279-4 (MCB Bank Ltd- ISLAMABAD)</t>
  </si>
  <si>
    <t>Farhan Ahmed</t>
  </si>
  <si>
    <t>V001058</t>
  </si>
  <si>
    <t>Attock Petroleum Ltd.</t>
  </si>
  <si>
    <t>200032-04-01-001</t>
  </si>
  <si>
    <t>SALARIES PAYABLE (ISB, DFT, DFT)</t>
  </si>
  <si>
    <t>Distr. Rule</t>
  </si>
  <si>
    <t>200033-04-01-001</t>
  </si>
  <si>
    <t>E.O.B.I. PAYABLE (ISB, DFT, DFT)</t>
  </si>
  <si>
    <t>Sr Manager Finance</t>
  </si>
  <si>
    <t>Blanket Agreement</t>
  </si>
  <si>
    <t>Seq. No.</t>
  </si>
  <si>
    <t>ISB26</t>
  </si>
  <si>
    <t>KHI26</t>
  </si>
  <si>
    <t>SALARIES (OP &amp; M) (ISB, SVM, DFT)</t>
  </si>
  <si>
    <t>600102-04-04-001</t>
  </si>
  <si>
    <t>Ref. 2 (Header)</t>
  </si>
  <si>
    <t>OTHER OPERATIONAL EXPENSES (OP &amp;M) (ISB, SVM, DFT)</t>
  </si>
  <si>
    <t>600109-04-04-001</t>
  </si>
  <si>
    <t>HABIB METRO BANK LTD (KHI, DFT, DFT)</t>
  </si>
  <si>
    <t>300325-02-01-001</t>
  </si>
  <si>
    <t>Yahya Engineering SMC Pvt Ltd</t>
  </si>
  <si>
    <t>V000849</t>
  </si>
  <si>
    <t>Seezuna</t>
  </si>
  <si>
    <t>V001716</t>
  </si>
  <si>
    <t>Payment Seezuna WHT 5.5%</t>
  </si>
  <si>
    <t>BANK RECONCILIATION STATEMENT FOR THE MONTH MAY-2026</t>
  </si>
  <si>
    <t>Salaries IIAP m/o May-26</t>
  </si>
  <si>
    <t>262034</t>
  </si>
  <si>
    <t>PS 2630275</t>
  </si>
  <si>
    <t>22.05.26</t>
  </si>
  <si>
    <t>Salaries NIBAF m/o May-26</t>
  </si>
  <si>
    <t>262021</t>
  </si>
  <si>
    <t>PS 2630274</t>
  </si>
  <si>
    <t>GenSet oil analysis 2nd Tranche/Handrail Shaft repair/Petty cash/Security guards 24th Mar to 30th Apr</t>
  </si>
  <si>
    <t>261985</t>
  </si>
  <si>
    <t>PS 2630273</t>
  </si>
  <si>
    <t>21.05.26</t>
  </si>
  <si>
    <t>Fund Transfer Through RTGS from HMBL to MCB ISB</t>
  </si>
  <si>
    <t>261919</t>
  </si>
  <si>
    <t>PS 2601516</t>
  </si>
  <si>
    <t>19.05.26</t>
  </si>
  <si>
    <t>Payment Yahya Engineering WHT 6%</t>
  </si>
  <si>
    <t>261873</t>
  </si>
  <si>
    <t>PS 2630272</t>
  </si>
  <si>
    <t>New Light Corporation</t>
  </si>
  <si>
    <t>V000960</t>
  </si>
  <si>
    <t>Payment NewLightCorporation WHT 5.5%</t>
  </si>
  <si>
    <t>261872</t>
  </si>
  <si>
    <t>PS 2630271</t>
  </si>
  <si>
    <t>261870</t>
  </si>
  <si>
    <t>PS 2630270</t>
  </si>
  <si>
    <t>Musa Traders</t>
  </si>
  <si>
    <t>V001529</t>
  </si>
  <si>
    <t>Payment Musa Traders WHT 5.5%</t>
  </si>
  <si>
    <t>261869</t>
  </si>
  <si>
    <t>PS 2630269</t>
  </si>
  <si>
    <t>NIIAP-EB-03</t>
  </si>
  <si>
    <t>EOBI IIAP m/o Apr-26</t>
  </si>
  <si>
    <t>261867</t>
  </si>
  <si>
    <t>PS 2630268</t>
  </si>
  <si>
    <t>PESSI IIAP m/o Apr-26</t>
  </si>
  <si>
    <t>261865</t>
  </si>
  <si>
    <t>PS 2630267</t>
  </si>
  <si>
    <t>Cash redeposit Waseem m/o Mar-26/Adv adj ref 2630264 paper reams</t>
  </si>
  <si>
    <t>261777</t>
  </si>
  <si>
    <t>RC 2630024</t>
  </si>
  <si>
    <t>14.05.26</t>
  </si>
  <si>
    <t>Cash Wages/Balance Wages IIAP m/o Apr-26</t>
  </si>
  <si>
    <t>261666</t>
  </si>
  <si>
    <t>PS 2630266</t>
  </si>
  <si>
    <t>12.05.26</t>
  </si>
  <si>
    <t>Three Trees Hotel</t>
  </si>
  <si>
    <t>V002159</t>
  </si>
  <si>
    <t>Payment Three Tree WHT 6%</t>
  </si>
  <si>
    <t>261646</t>
  </si>
  <si>
    <t>PS 2630265</t>
  </si>
  <si>
    <t>11.05.26</t>
  </si>
  <si>
    <t>Adv for gensets IIAP 2nd payment/Adv ATC tower fan motor repair/Adv joystick repair/Adv paper reams</t>
  </si>
  <si>
    <t>261642</t>
  </si>
  <si>
    <t>PS 2630264</t>
  </si>
  <si>
    <t>NIBAF wages m/o Apr-26/Medical claim Inam/WHT Salaries IIAP m/o Apr-26</t>
  </si>
  <si>
    <t>261577</t>
  </si>
  <si>
    <t>PS 2630263</t>
  </si>
  <si>
    <t>07.05.26</t>
  </si>
  <si>
    <t>Payment Attock Petroleum IIAP m/o Apr-26</t>
  </si>
  <si>
    <t>261567</t>
  </si>
  <si>
    <t>PS 2630262</t>
  </si>
  <si>
    <t>Suzuki Azim Motors</t>
  </si>
  <si>
    <t>V002171</t>
  </si>
  <si>
    <t>Payment Suzuki Azim Motors WHT 5.5%/15%</t>
  </si>
  <si>
    <t>261545</t>
  </si>
  <si>
    <t>PS 2630261</t>
  </si>
  <si>
    <t>06.05.26</t>
  </si>
  <si>
    <t>Salaries IIAP m/o Apr-26</t>
  </si>
  <si>
    <t>261446</t>
  </si>
  <si>
    <t>PS 2630260</t>
  </si>
  <si>
    <t>04.05.26</t>
  </si>
  <si>
    <t>BANK-SONERI BANK LTD. (A/C # 02012503004) (KHI)</t>
  </si>
  <si>
    <t>300312-02-01-001</t>
  </si>
  <si>
    <t>Fund Transfer Through RTGS from SBL to MCB BANK ISB</t>
  </si>
  <si>
    <t>261412</t>
  </si>
  <si>
    <t>PS 2601444</t>
  </si>
  <si>
    <t>2074857007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</si>
</sst>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3" formatCode="_(* #,##0.00_);_(* \(#,##0.00\);_(* &quot;-&quot;??_);_(@_)"/>
    <numFmt numFmtId="164" formatCode="_-* #,##0.00_-;\-* #,##0.00_-;_-* &quot;-&quot;??_-;_-@_-"/>
    <numFmt numFmtId="165" formatCode="0\ "/>
    <numFmt numFmtId="166" formatCode="d\-mmm\-yyyy;@"/>
    <numFmt numFmtId="167" formatCode="#,##0.00\ ;&quot; (&quot;#,##0.00\);&quot; -&quot;#\ ;@\ "/>
    <numFmt numFmtId="168" formatCode="#,##0\ ;\(#,##0\)"/>
    <numFmt numFmtId="169" formatCode="#,##0.00\ ;\(#,##0.00\)"/>
    <numFmt numFmtId="170" formatCode="dd\-mmm\-yy\ "/>
    <numFmt numFmtId="171" formatCode="dd\.mm\.yy;@"/>
    <numFmt numFmtId="172" formatCode="_ * #,##0.00_ ;_ * \-#,##0.00_ ;_ * &quot;-&quot;??_ ;_ @_ "/>
    <numFmt numFmtId="173" formatCode="\$#,##0.00_);\(\$#,##0.00\)"/>
    <numFmt numFmtId="174" formatCode="_(* #,##0_);_(* \(#,##0\);_(* &quot;-&quot;??_);_(@_)"/>
    <numFmt numFmtId="175" formatCode="#,##0\ ;&quot; (&quot;#,##0\);&quot; -&quot;#\ ;@\ "/>
    <numFmt numFmtId="176" formatCode="_-* #,##0_-;\-* #,##0_-;_-* &quot;-&quot;??_-;_-@_-"/>
  </numFmts>
  <fonts count="17"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charset val="134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sz val="12"/>
      <color indexed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hair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/>
      <top/>
      <bottom style="hair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8"/>
      </left>
      <right/>
      <top/>
      <bottom style="hair">
        <color indexed="8"/>
      </bottom>
      <diagonal/>
    </border>
  </borders>
  <cellStyleXfs count="62">
    <xf numFmtId="0" fontId="0" fillId="0" borderId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43" fontId="2" fillId="0" borderId="0" applyFill="0" applyBorder="0" applyAlignment="0" applyProtection="0"/>
    <xf numFmtId="43" fontId="2" fillId="0" borderId="0" applyFill="0" applyBorder="0" applyAlignment="0" applyProtection="0"/>
    <xf numFmtId="43" fontId="2" fillId="0" borderId="0" applyFont="0" applyFill="0" applyBorder="0" applyAlignment="0" applyProtection="0"/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73" fontId="3" fillId="0" borderId="0" applyFill="0" applyBorder="0" applyProtection="0"/>
    <xf numFmtId="167" fontId="1" fillId="0" borderId="0" applyFont="0" applyFill="0" applyBorder="0" applyAlignment="0" applyProtection="0">
      <alignment vertical="center"/>
    </xf>
    <xf numFmtId="167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166" fontId="3" fillId="0" borderId="0" applyFill="0" applyBorder="0" applyProtection="0">
      <alignment vertical="center"/>
    </xf>
    <xf numFmtId="173" fontId="3" fillId="0" borderId="0" applyFill="0" applyBorder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172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70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6" fontId="1" fillId="0" borderId="0" applyFont="0" applyFill="0" applyBorder="0" applyAlignment="0" applyProtection="0">
      <alignment vertical="center"/>
    </xf>
    <xf numFmtId="168" fontId="1" fillId="0" borderId="0" applyFont="0" applyFill="0" applyBorder="0" applyAlignment="0" applyProtection="0">
      <alignment vertical="center"/>
    </xf>
    <xf numFmtId="43" fontId="5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169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/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6" fillId="0" borderId="0"/>
    <xf numFmtId="164" fontId="6" fillId="0" borderId="0" applyFont="0" applyFill="0" applyBorder="0" applyAlignment="0" applyProtection="0"/>
  </cellStyleXfs>
  <cellXfs count="110">
    <xf numFmtId="0" fontId="0" fillId="0" borderId="0" xfId="0"/>
    <xf numFmtId="0" fontId="8" fillId="0" borderId="0" xfId="50" applyFont="1" applyFill="1" applyAlignment="1"/>
    <xf numFmtId="0" fontId="8" fillId="0" borderId="0" xfId="50" applyFont="1" applyFill="1" applyAlignment="1">
      <alignment vertical="center"/>
    </xf>
    <xf numFmtId="0" fontId="8" fillId="0" borderId="1" xfId="50" applyFont="1" applyFill="1" applyBorder="1" applyAlignment="1"/>
    <xf numFmtId="165" fontId="9" fillId="0" borderId="0" xfId="50" applyNumberFormat="1" applyFont="1" applyFill="1" applyBorder="1" applyAlignment="1" applyProtection="1"/>
    <xf numFmtId="166" fontId="9" fillId="0" borderId="0" xfId="50" applyNumberFormat="1" applyFont="1" applyFill="1" applyBorder="1" applyAlignment="1" applyProtection="1"/>
    <xf numFmtId="165" fontId="10" fillId="0" borderId="0" xfId="50" applyNumberFormat="1" applyFont="1" applyFill="1" applyBorder="1" applyAlignment="1" applyProtection="1"/>
    <xf numFmtId="166" fontId="10" fillId="0" borderId="0" xfId="50" applyNumberFormat="1" applyFont="1" applyFill="1" applyBorder="1" applyAlignment="1" applyProtection="1"/>
    <xf numFmtId="167" fontId="10" fillId="0" borderId="0" xfId="33" applyNumberFormat="1" applyFont="1" applyFill="1" applyBorder="1" applyAlignment="1" applyProtection="1"/>
    <xf numFmtId="165" fontId="9" fillId="0" borderId="1" xfId="50" applyNumberFormat="1" applyFont="1" applyFill="1" applyBorder="1" applyAlignment="1" applyProtection="1"/>
    <xf numFmtId="0" fontId="8" fillId="0" borderId="0" xfId="50" applyFont="1" applyBorder="1" applyAlignment="1">
      <alignment horizontal="center"/>
    </xf>
    <xf numFmtId="165" fontId="9" fillId="2" borderId="2" xfId="50" applyNumberFormat="1" applyFont="1" applyFill="1" applyBorder="1" applyAlignment="1" applyProtection="1">
      <alignment horizontal="center"/>
    </xf>
    <xf numFmtId="166" fontId="9" fillId="2" borderId="2" xfId="50" applyNumberFormat="1" applyFont="1" applyFill="1" applyBorder="1" applyAlignment="1" applyProtection="1">
      <alignment horizontal="center"/>
    </xf>
    <xf numFmtId="167" fontId="9" fillId="2" borderId="2" xfId="33" applyNumberFormat="1" applyFont="1" applyFill="1" applyBorder="1" applyAlignment="1" applyProtection="1">
      <alignment horizontal="center"/>
    </xf>
    <xf numFmtId="165" fontId="10" fillId="0" borderId="1" xfId="50" applyNumberFormat="1" applyFont="1" applyFill="1" applyBorder="1" applyAlignment="1" applyProtection="1">
      <alignment horizontal="center"/>
    </xf>
    <xf numFmtId="166" fontId="8" fillId="0" borderId="0" xfId="50" applyNumberFormat="1" applyFont="1" applyFill="1" applyBorder="1" applyAlignment="1">
      <alignment horizontal="center" vertical="center" wrapText="1"/>
    </xf>
    <xf numFmtId="0" fontId="8" fillId="0" borderId="0" xfId="50" applyFont="1" applyFill="1" applyBorder="1" applyAlignment="1">
      <alignment horizontal="center" vertical="center"/>
    </xf>
    <xf numFmtId="0" fontId="8" fillId="0" borderId="3" xfId="50" applyFont="1" applyBorder="1" applyAlignment="1"/>
    <xf numFmtId="165" fontId="8" fillId="0" borderId="0" xfId="50" applyNumberFormat="1" applyFont="1" applyFill="1" applyBorder="1" applyAlignment="1">
      <alignment horizontal="center"/>
    </xf>
    <xf numFmtId="166" fontId="10" fillId="0" borderId="0" xfId="50" applyNumberFormat="1" applyFont="1" applyFill="1" applyBorder="1" applyAlignment="1" applyProtection="1">
      <alignment horizontal="center"/>
    </xf>
    <xf numFmtId="165" fontId="10" fillId="0" borderId="0" xfId="50" applyNumberFormat="1" applyFont="1" applyFill="1" applyBorder="1" applyAlignment="1" applyProtection="1">
      <alignment horizontal="center"/>
    </xf>
    <xf numFmtId="169" fontId="9" fillId="0" borderId="0" xfId="50" applyNumberFormat="1" applyFont="1" applyFill="1" applyBorder="1" applyAlignment="1" applyProtection="1"/>
    <xf numFmtId="0" fontId="8" fillId="0" borderId="0" xfId="50" applyFont="1" applyAlignment="1">
      <alignment horizontal="center" wrapText="1"/>
    </xf>
    <xf numFmtId="166" fontId="8" fillId="0" borderId="5" xfId="50" applyNumberFormat="1" applyFont="1" applyFill="1" applyBorder="1" applyAlignment="1">
      <alignment horizontal="center" vertical="center" wrapText="1"/>
    </xf>
    <xf numFmtId="0" fontId="8" fillId="0" borderId="5" xfId="50" applyFont="1" applyFill="1" applyBorder="1" applyAlignment="1">
      <alignment horizontal="center" vertical="center" wrapText="1"/>
    </xf>
    <xf numFmtId="0" fontId="8" fillId="0" borderId="5" xfId="50" applyFont="1" applyBorder="1" applyAlignment="1"/>
    <xf numFmtId="165" fontId="9" fillId="0" borderId="6" xfId="50" applyNumberFormat="1" applyFont="1" applyFill="1" applyBorder="1" applyAlignment="1" applyProtection="1"/>
    <xf numFmtId="166" fontId="11" fillId="0" borderId="7" xfId="50" applyNumberFormat="1" applyFont="1" applyFill="1" applyBorder="1" applyAlignment="1" applyProtection="1"/>
    <xf numFmtId="170" fontId="10" fillId="0" borderId="7" xfId="50" applyNumberFormat="1" applyFont="1" applyFill="1" applyBorder="1" applyAlignment="1" applyProtection="1">
      <alignment horizontal="left"/>
    </xf>
    <xf numFmtId="165" fontId="10" fillId="0" borderId="7" xfId="50" applyNumberFormat="1" applyFont="1" applyFill="1" applyBorder="1" applyAlignment="1" applyProtection="1">
      <alignment horizontal="left"/>
    </xf>
    <xf numFmtId="167" fontId="8" fillId="0" borderId="7" xfId="33" applyNumberFormat="1" applyFont="1" applyFill="1" applyBorder="1" applyAlignment="1" applyProtection="1"/>
    <xf numFmtId="167" fontId="9" fillId="0" borderId="0" xfId="33" applyNumberFormat="1" applyFont="1" applyFill="1" applyBorder="1" applyAlignment="1" applyProtection="1"/>
    <xf numFmtId="0" fontId="12" fillId="0" borderId="2" xfId="50" applyFont="1" applyFill="1" applyBorder="1" applyAlignment="1">
      <alignment horizontal="center" vertical="center" wrapText="1"/>
    </xf>
    <xf numFmtId="0" fontId="8" fillId="0" borderId="2" xfId="50" applyFont="1" applyFill="1" applyBorder="1" applyAlignment="1">
      <alignment horizontal="center" vertical="center" wrapText="1"/>
    </xf>
    <xf numFmtId="0" fontId="12" fillId="0" borderId="0" xfId="50" applyFont="1" applyBorder="1" applyAlignment="1">
      <alignment horizontal="center" wrapText="1"/>
    </xf>
    <xf numFmtId="165" fontId="10" fillId="0" borderId="0" xfId="50" applyNumberFormat="1" applyFont="1" applyFill="1" applyBorder="1" applyAlignment="1" applyProtection="1">
      <alignment horizontal="left"/>
    </xf>
    <xf numFmtId="167" fontId="8" fillId="0" borderId="0" xfId="33" applyNumberFormat="1" applyFont="1" applyFill="1" applyBorder="1" applyAlignment="1" applyProtection="1"/>
    <xf numFmtId="0" fontId="8" fillId="0" borderId="0" xfId="50" applyFont="1" applyFill="1" applyBorder="1" applyAlignment="1"/>
    <xf numFmtId="165" fontId="9" fillId="0" borderId="0" xfId="50" applyNumberFormat="1" applyFont="1" applyFill="1" applyBorder="1" applyAlignment="1" applyProtection="1">
      <alignment horizontal="left"/>
    </xf>
    <xf numFmtId="0" fontId="8" fillId="0" borderId="8" xfId="50" applyFont="1" applyFill="1" applyBorder="1" applyAlignment="1"/>
    <xf numFmtId="166" fontId="8" fillId="0" borderId="0" xfId="50" applyNumberFormat="1" applyFont="1" applyFill="1" applyAlignment="1"/>
    <xf numFmtId="0" fontId="13" fillId="0" borderId="0" xfId="50" applyFont="1" applyFill="1" applyAlignment="1"/>
    <xf numFmtId="166" fontId="13" fillId="0" borderId="0" xfId="50" applyNumberFormat="1" applyFont="1" applyFill="1" applyAlignment="1"/>
    <xf numFmtId="167" fontId="10" fillId="0" borderId="0" xfId="33" applyNumberFormat="1" applyFont="1" applyFill="1" applyBorder="1" applyAlignment="1" applyProtection="1">
      <alignment horizontal="center"/>
    </xf>
    <xf numFmtId="167" fontId="8" fillId="0" borderId="0" xfId="50" applyNumberFormat="1" applyFont="1" applyFill="1" applyAlignment="1"/>
    <xf numFmtId="0" fontId="14" fillId="0" borderId="2" xfId="0" applyFont="1" applyBorder="1" applyAlignment="1">
      <alignment horizontal="left"/>
    </xf>
    <xf numFmtId="0" fontId="14" fillId="0" borderId="2" xfId="0" applyFont="1" applyBorder="1" applyAlignment="1">
      <alignment horizontal="center"/>
    </xf>
    <xf numFmtId="171" fontId="8" fillId="0" borderId="2" xfId="0" applyNumberFormat="1" applyFont="1" applyFill="1" applyBorder="1" applyAlignment="1">
      <alignment horizontal="center" vertical="center"/>
    </xf>
    <xf numFmtId="0" fontId="12" fillId="0" borderId="2" xfId="52" applyFont="1" applyBorder="1" applyAlignment="1">
      <alignment horizontal="center" wrapText="1"/>
    </xf>
    <xf numFmtId="0" fontId="8" fillId="0" borderId="0" xfId="52" applyFont="1" applyFill="1" applyAlignment="1"/>
    <xf numFmtId="0" fontId="8" fillId="0" borderId="0" xfId="52" applyFont="1" applyFill="1" applyAlignment="1">
      <alignment vertical="center"/>
    </xf>
    <xf numFmtId="0" fontId="8" fillId="0" borderId="0" xfId="45" applyFont="1" applyFill="1"/>
    <xf numFmtId="171" fontId="8" fillId="0" borderId="2" xfId="45" applyNumberFormat="1" applyFont="1" applyFill="1" applyBorder="1" applyAlignment="1">
      <alignment horizontal="center" vertical="center"/>
    </xf>
    <xf numFmtId="0" fontId="13" fillId="0" borderId="0" xfId="50" applyFont="1" applyFill="1" applyAlignment="1">
      <alignment vertical="center"/>
    </xf>
    <xf numFmtId="0" fontId="8" fillId="0" borderId="0" xfId="50" applyFont="1" applyFill="1" applyAlignment="1">
      <alignment horizontal="left"/>
    </xf>
    <xf numFmtId="0" fontId="8" fillId="0" borderId="0" xfId="52" applyFont="1" applyFill="1" applyAlignment="1">
      <alignment horizontal="left"/>
    </xf>
    <xf numFmtId="0" fontId="8" fillId="0" borderId="2" xfId="45" applyFont="1" applyFill="1" applyBorder="1" applyAlignment="1">
      <alignment horizontal="center" vertical="center"/>
    </xf>
    <xf numFmtId="0" fontId="8" fillId="0" borderId="2" xfId="45" applyFont="1" applyFill="1" applyBorder="1" applyAlignment="1">
      <alignment vertical="center"/>
    </xf>
    <xf numFmtId="0" fontId="13" fillId="0" borderId="2" xfId="45" applyFont="1" applyFill="1" applyBorder="1" applyAlignment="1">
      <alignment horizontal="center" vertical="center"/>
    </xf>
    <xf numFmtId="0" fontId="13" fillId="0" borderId="0" xfId="50" applyFont="1" applyFill="1" applyAlignment="1">
      <alignment horizontal="left"/>
    </xf>
    <xf numFmtId="0" fontId="13" fillId="0" borderId="0" xfId="45" applyFont="1" applyFill="1"/>
    <xf numFmtId="43" fontId="9" fillId="2" borderId="4" xfId="1" applyFont="1" applyFill="1" applyBorder="1" applyAlignment="1" applyProtection="1">
      <alignment horizontal="right"/>
    </xf>
    <xf numFmtId="43" fontId="9" fillId="0" borderId="0" xfId="1" applyFont="1" applyFill="1" applyBorder="1" applyAlignment="1" applyProtection="1"/>
    <xf numFmtId="43" fontId="8" fillId="0" borderId="8" xfId="1" applyFont="1" applyFill="1" applyBorder="1" applyAlignment="1"/>
    <xf numFmtId="43" fontId="14" fillId="0" borderId="2" xfId="39" applyFont="1" applyBorder="1" applyAlignment="1">
      <alignment horizontal="center"/>
    </xf>
    <xf numFmtId="0" fontId="10" fillId="0" borderId="2" xfId="50" applyNumberFormat="1" applyFont="1" applyFill="1" applyBorder="1" applyAlignment="1" applyProtection="1">
      <alignment horizontal="center" vertical="top"/>
    </xf>
    <xf numFmtId="0" fontId="8" fillId="0" borderId="9" xfId="50" applyFont="1" applyFill="1" applyBorder="1" applyAlignment="1"/>
    <xf numFmtId="0" fontId="7" fillId="0" borderId="2" xfId="0" applyFont="1" applyBorder="1" applyAlignment="1">
      <alignment horizontal="center"/>
    </xf>
    <xf numFmtId="0" fontId="7" fillId="0" borderId="2" xfId="0" applyFont="1" applyFill="1" applyBorder="1" applyAlignment="1">
      <alignment horizontal="center"/>
    </xf>
    <xf numFmtId="165" fontId="9" fillId="2" borderId="17" xfId="50" applyNumberFormat="1" applyFont="1" applyFill="1" applyBorder="1" applyAlignment="1" applyProtection="1"/>
    <xf numFmtId="165" fontId="9" fillId="2" borderId="18" xfId="50" applyNumberFormat="1" applyFont="1" applyFill="1" applyBorder="1" applyAlignment="1" applyProtection="1"/>
    <xf numFmtId="0" fontId="8" fillId="0" borderId="20" xfId="50" applyFont="1" applyFill="1" applyBorder="1" applyAlignment="1">
      <alignment horizontal="left"/>
    </xf>
    <xf numFmtId="0" fontId="8" fillId="0" borderId="8" xfId="50" applyFont="1" applyFill="1" applyBorder="1" applyAlignment="1">
      <alignment horizontal="left"/>
    </xf>
    <xf numFmtId="166" fontId="8" fillId="0" borderId="8" xfId="50" applyNumberFormat="1" applyFont="1" applyFill="1" applyBorder="1" applyAlignment="1">
      <alignment horizontal="left"/>
    </xf>
    <xf numFmtId="43" fontId="14" fillId="0" borderId="4" xfId="39" applyFont="1" applyBorder="1" applyAlignment="1">
      <alignment horizontal="center"/>
    </xf>
    <xf numFmtId="0" fontId="0" fillId="0" borderId="2" xfId="0" applyFont="1" applyFill="1" applyBorder="1" applyAlignment="1"/>
    <xf numFmtId="174" fontId="9" fillId="2" borderId="2" xfId="1" applyNumberFormat="1" applyFont="1" applyFill="1" applyBorder="1" applyAlignment="1" applyProtection="1"/>
    <xf numFmtId="174" fontId="9" fillId="2" borderId="4" xfId="1" applyNumberFormat="1" applyFont="1" applyFill="1" applyBorder="1" applyAlignment="1" applyProtection="1">
      <alignment horizontal="right"/>
    </xf>
    <xf numFmtId="174" fontId="9" fillId="0" borderId="0" xfId="50" applyNumberFormat="1" applyFont="1" applyFill="1" applyBorder="1" applyAlignment="1" applyProtection="1">
      <alignment horizontal="left"/>
    </xf>
    <xf numFmtId="174" fontId="9" fillId="3" borderId="2" xfId="1" applyNumberFormat="1" applyFont="1" applyFill="1" applyBorder="1" applyAlignment="1" applyProtection="1"/>
    <xf numFmtId="174" fontId="13" fillId="2" borderId="2" xfId="1" applyNumberFormat="1" applyFont="1" applyFill="1" applyBorder="1" applyAlignment="1" applyProtection="1"/>
    <xf numFmtId="174" fontId="15" fillId="0" borderId="2" xfId="1" applyNumberFormat="1" applyFont="1" applyFill="1" applyBorder="1" applyAlignment="1">
      <alignment vertical="center"/>
    </xf>
    <xf numFmtId="175" fontId="9" fillId="2" borderId="4" xfId="33" applyNumberFormat="1" applyFont="1" applyFill="1" applyBorder="1" applyAlignment="1" applyProtection="1">
      <alignment horizontal="right"/>
    </xf>
    <xf numFmtId="174" fontId="9" fillId="2" borderId="4" xfId="1" applyNumberFormat="1" applyFont="1" applyFill="1" applyBorder="1" applyAlignment="1" applyProtection="1"/>
    <xf numFmtId="0" fontId="16" fillId="0" borderId="2" xfId="0" applyFont="1" applyFill="1" applyBorder="1" applyAlignment="1"/>
    <xf numFmtId="174" fontId="15" fillId="0" borderId="2" xfId="39" applyNumberFormat="1" applyFont="1" applyBorder="1" applyAlignment="1">
      <alignment horizontal="left"/>
    </xf>
    <xf numFmtId="0" fontId="6" fillId="0" borderId="0" xfId="60"/>
    <xf numFmtId="0" fontId="14" fillId="0" borderId="2" xfId="0" quotePrefix="1" applyFont="1" applyBorder="1" applyAlignment="1">
      <alignment horizontal="left"/>
    </xf>
    <xf numFmtId="176" fontId="0" fillId="0" borderId="0" xfId="61" applyNumberFormat="1" applyFont="1"/>
    <xf numFmtId="0" fontId="13" fillId="2" borderId="17" xfId="50" applyFont="1" applyFill="1" applyBorder="1" applyAlignment="1">
      <alignment horizontal="left"/>
    </xf>
    <xf numFmtId="0" fontId="13" fillId="2" borderId="18" xfId="50" applyFont="1" applyFill="1" applyBorder="1" applyAlignment="1">
      <alignment horizontal="left"/>
    </xf>
    <xf numFmtId="0" fontId="13" fillId="2" borderId="19" xfId="50" applyFont="1" applyFill="1" applyBorder="1" applyAlignment="1">
      <alignment horizontal="left"/>
    </xf>
    <xf numFmtId="165" fontId="9" fillId="0" borderId="10" xfId="50" applyNumberFormat="1" applyFont="1" applyFill="1" applyBorder="1" applyAlignment="1" applyProtection="1">
      <alignment horizontal="center"/>
    </xf>
    <xf numFmtId="165" fontId="9" fillId="0" borderId="11" xfId="50" applyNumberFormat="1" applyFont="1" applyFill="1" applyBorder="1" applyAlignment="1" applyProtection="1">
      <alignment horizontal="center"/>
    </xf>
    <xf numFmtId="165" fontId="9" fillId="0" borderId="12" xfId="50" applyNumberFormat="1" applyFont="1" applyFill="1" applyBorder="1" applyAlignment="1" applyProtection="1">
      <alignment horizontal="center"/>
    </xf>
    <xf numFmtId="165" fontId="9" fillId="0" borderId="13" xfId="50" applyNumberFormat="1" applyFont="1" applyFill="1" applyBorder="1" applyAlignment="1" applyProtection="1">
      <alignment horizontal="center"/>
    </xf>
    <xf numFmtId="165" fontId="9" fillId="0" borderId="0" xfId="50" applyNumberFormat="1" applyFont="1" applyFill="1" applyBorder="1" applyAlignment="1" applyProtection="1">
      <alignment horizontal="center"/>
    </xf>
    <xf numFmtId="165" fontId="9" fillId="0" borderId="14" xfId="50" applyNumberFormat="1" applyFont="1" applyFill="1" applyBorder="1" applyAlignment="1" applyProtection="1">
      <alignment horizontal="center"/>
    </xf>
    <xf numFmtId="165" fontId="9" fillId="0" borderId="15" xfId="50" applyNumberFormat="1" applyFont="1" applyFill="1" applyBorder="1" applyAlignment="1" applyProtection="1">
      <alignment horizontal="center"/>
    </xf>
    <xf numFmtId="165" fontId="9" fillId="0" borderId="9" xfId="50" applyNumberFormat="1" applyFont="1" applyFill="1" applyBorder="1" applyAlignment="1" applyProtection="1">
      <alignment horizontal="center"/>
    </xf>
    <xf numFmtId="165" fontId="9" fillId="0" borderId="16" xfId="50" applyNumberFormat="1" applyFont="1" applyFill="1" applyBorder="1" applyAlignment="1" applyProtection="1">
      <alignment horizontal="center"/>
    </xf>
    <xf numFmtId="165" fontId="9" fillId="2" borderId="17" xfId="50" applyNumberFormat="1" applyFont="1" applyFill="1" applyBorder="1" applyAlignment="1" applyProtection="1">
      <alignment horizontal="left"/>
    </xf>
    <xf numFmtId="165" fontId="9" fillId="2" borderId="18" xfId="50" applyNumberFormat="1" applyFont="1" applyFill="1" applyBorder="1" applyAlignment="1" applyProtection="1">
      <alignment horizontal="left"/>
    </xf>
    <xf numFmtId="165" fontId="9" fillId="2" borderId="19" xfId="50" applyNumberFormat="1" applyFont="1" applyFill="1" applyBorder="1" applyAlignment="1" applyProtection="1">
      <alignment horizontal="left"/>
    </xf>
    <xf numFmtId="165" fontId="9" fillId="3" borderId="17" xfId="50" applyNumberFormat="1" applyFont="1" applyFill="1" applyBorder="1" applyAlignment="1" applyProtection="1">
      <alignment horizontal="left"/>
    </xf>
    <xf numFmtId="165" fontId="9" fillId="3" borderId="18" xfId="50" applyNumberFormat="1" applyFont="1" applyFill="1" applyBorder="1" applyAlignment="1" applyProtection="1">
      <alignment horizontal="left"/>
    </xf>
    <xf numFmtId="165" fontId="9" fillId="3" borderId="19" xfId="50" applyNumberFormat="1" applyFont="1" applyFill="1" applyBorder="1" applyAlignment="1" applyProtection="1">
      <alignment horizontal="left"/>
    </xf>
    <xf numFmtId="176" fontId="6" fillId="0" borderId="0" xfId="60" applyNumberFormat="1"/>
    <xf numFmtId="176" fontId="5" fillId="0" borderId="0" xfId="61" applyNumberFormat="1" applyFont="1"/>
    <xf numFmtId="176" fontId="5" fillId="4" borderId="0" xfId="61" applyNumberFormat="1" applyFont="1" applyFill="1"/>
  </cellXfs>
  <cellStyles count="62">
    <cellStyle name="Comma" xfId="1" builtinId="3"/>
    <cellStyle name="Comma 10" xfId="2"/>
    <cellStyle name="Comma 11" xfId="3"/>
    <cellStyle name="Comma 12" xfId="4"/>
    <cellStyle name="Comma 13" xfId="5"/>
    <cellStyle name="Comma 14" xfId="6"/>
    <cellStyle name="Comma 15" xfId="7"/>
    <cellStyle name="Comma 16" xfId="8"/>
    <cellStyle name="Comma 17" xfId="61"/>
    <cellStyle name="Comma 2" xfId="9"/>
    <cellStyle name="Comma 2 10" xfId="10"/>
    <cellStyle name="Comma 2 11" xfId="11"/>
    <cellStyle name="Comma 2 12" xfId="12"/>
    <cellStyle name="Comma 2 13" xfId="13"/>
    <cellStyle name="Comma 2 14" xfId="14"/>
    <cellStyle name="Comma 2 15" xfId="15"/>
    <cellStyle name="Comma 2 2" xfId="16"/>
    <cellStyle name="Comma 2 2 2" xfId="17"/>
    <cellStyle name="Comma 2 2 3" xfId="18"/>
    <cellStyle name="Comma 2 2 4" xfId="19"/>
    <cellStyle name="Comma 2 2 5" xfId="20"/>
    <cellStyle name="Comma 2 3" xfId="21"/>
    <cellStyle name="Comma 2 3 2" xfId="22"/>
    <cellStyle name="Comma 2 4" xfId="23"/>
    <cellStyle name="Comma 2 4 2" xfId="24"/>
    <cellStyle name="Comma 2 5" xfId="25"/>
    <cellStyle name="Comma 2 6" xfId="26"/>
    <cellStyle name="Comma 2 6 2" xfId="27"/>
    <cellStyle name="Comma 2 6 3" xfId="28"/>
    <cellStyle name="Comma 2 6 4" xfId="29"/>
    <cellStyle name="Comma 2 7" xfId="30"/>
    <cellStyle name="Comma 2 8" xfId="31"/>
    <cellStyle name="Comma 2 9" xfId="32"/>
    <cellStyle name="Comma 3" xfId="33"/>
    <cellStyle name="Comma 3 2" xfId="34"/>
    <cellStyle name="Comma 3 3" xfId="35"/>
    <cellStyle name="Comma 3 4" xfId="36"/>
    <cellStyle name="Comma 4" xfId="37"/>
    <cellStyle name="Comma 4 2" xfId="38"/>
    <cellStyle name="Comma 5" xfId="39"/>
    <cellStyle name="Comma 6" xfId="40"/>
    <cellStyle name="Comma 7" xfId="41"/>
    <cellStyle name="Comma 8" xfId="42"/>
    <cellStyle name="Comma 9" xfId="43"/>
    <cellStyle name="Normal" xfId="0" builtinId="0"/>
    <cellStyle name="Normal 2" xfId="44"/>
    <cellStyle name="Normal 2 2" xfId="45"/>
    <cellStyle name="Normal 2 2 2" xfId="46"/>
    <cellStyle name="Normal 2 2 3" xfId="47"/>
    <cellStyle name="Normal 2 3" xfId="48"/>
    <cellStyle name="Normal 2 4" xfId="49"/>
    <cellStyle name="Normal 3" xfId="50"/>
    <cellStyle name="Normal 3 2" xfId="51"/>
    <cellStyle name="Normal 3 3" xfId="52"/>
    <cellStyle name="Normal 3 3 2" xfId="53"/>
    <cellStyle name="Normal 3 4" xfId="54"/>
    <cellStyle name="Normal 4" xfId="55"/>
    <cellStyle name="Normal 4 2" xfId="56"/>
    <cellStyle name="Normal 4 3" xfId="57"/>
    <cellStyle name="Normal 5" xfId="58"/>
    <cellStyle name="Normal 6" xfId="59"/>
    <cellStyle name="Normal 7" xfId="6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rgb="FF00B050"/>
    <pageSetUpPr fitToPage="1"/>
  </sheetPr>
  <dimension ref="B1:IV68"/>
  <sheetViews>
    <sheetView zoomScaleNormal="100" workbookViewId="0">
      <selection activeCell="G29" sqref="G29"/>
    </sheetView>
  </sheetViews>
  <sheetFormatPr defaultRowHeight="15.75"/>
  <cols>
    <col min="1" max="1" width="1.85546875" style="51" customWidth="1"/>
    <col min="2" max="2" width="7" style="1" customWidth="1"/>
    <col min="3" max="3" width="14" style="1" customWidth="1"/>
    <col min="4" max="4" width="12.42578125" style="40" customWidth="1"/>
    <col min="5" max="5" width="18" style="1" bestFit="1" customWidth="1"/>
    <col min="6" max="6" width="31" style="1" bestFit="1" customWidth="1"/>
    <col min="7" max="7" width="19.28515625" style="1" customWidth="1"/>
    <col min="8" max="8" width="41" style="1" bestFit="1" customWidth="1"/>
    <col min="9" max="9" width="36.7109375" style="54" bestFit="1" customWidth="1"/>
    <col min="10" max="10" width="10.42578125" style="1" bestFit="1" customWidth="1"/>
    <col min="11" max="252" width="9.140625" style="1"/>
    <col min="253" max="16384" width="9.140625" style="51"/>
  </cols>
  <sheetData>
    <row r="1" spans="2:252">
      <c r="B1" s="92" t="s">
        <v>0</v>
      </c>
      <c r="C1" s="93"/>
      <c r="D1" s="93"/>
      <c r="E1" s="93"/>
      <c r="F1" s="93"/>
      <c r="G1" s="93"/>
      <c r="H1" s="94"/>
      <c r="IN1" s="2"/>
      <c r="IO1" s="2"/>
      <c r="IP1" s="2"/>
      <c r="IQ1" s="2"/>
      <c r="IR1" s="2"/>
    </row>
    <row r="2" spans="2:252">
      <c r="B2" s="95" t="s">
        <v>66</v>
      </c>
      <c r="C2" s="96"/>
      <c r="D2" s="96"/>
      <c r="E2" s="96"/>
      <c r="F2" s="96"/>
      <c r="G2" s="96"/>
      <c r="H2" s="97"/>
      <c r="IN2" s="2"/>
      <c r="IO2" s="2"/>
      <c r="IP2" s="2"/>
      <c r="IQ2" s="2"/>
      <c r="IR2" s="2"/>
    </row>
    <row r="3" spans="2:252">
      <c r="B3" s="98" t="s">
        <v>40</v>
      </c>
      <c r="C3" s="99"/>
      <c r="D3" s="99"/>
      <c r="E3" s="99"/>
      <c r="F3" s="99"/>
      <c r="G3" s="99"/>
      <c r="H3" s="100"/>
      <c r="IN3" s="2"/>
      <c r="IO3" s="2"/>
      <c r="IP3" s="2"/>
      <c r="IQ3" s="2"/>
      <c r="IR3" s="2"/>
    </row>
    <row r="4" spans="2:252">
      <c r="B4" s="3"/>
      <c r="C4" s="4"/>
      <c r="D4" s="5"/>
      <c r="E4" s="4"/>
      <c r="F4" s="4"/>
      <c r="G4" s="4"/>
      <c r="H4" s="4"/>
      <c r="IN4" s="2"/>
      <c r="IO4" s="2"/>
      <c r="IP4" s="2"/>
      <c r="IQ4" s="2"/>
      <c r="IR4" s="2"/>
    </row>
    <row r="5" spans="2:252">
      <c r="B5" s="69" t="s">
        <v>1</v>
      </c>
      <c r="C5" s="70"/>
      <c r="D5" s="70"/>
      <c r="E5" s="70"/>
      <c r="F5" s="70"/>
      <c r="G5" s="76">
        <v>2895524.32</v>
      </c>
      <c r="IN5" s="2"/>
      <c r="IO5" s="2"/>
      <c r="IP5" s="2"/>
      <c r="IQ5" s="2"/>
      <c r="IR5" s="2"/>
    </row>
    <row r="6" spans="2:252">
      <c r="B6" s="3"/>
      <c r="C6" s="6"/>
      <c r="D6" s="7"/>
      <c r="E6" s="6"/>
      <c r="F6" s="6"/>
      <c r="G6" s="8"/>
      <c r="H6" s="8"/>
      <c r="IN6" s="2"/>
      <c r="IO6" s="2"/>
      <c r="IP6" s="2"/>
      <c r="IQ6" s="2"/>
      <c r="IR6" s="2"/>
    </row>
    <row r="7" spans="2:252">
      <c r="B7" s="9" t="s">
        <v>2</v>
      </c>
      <c r="C7" s="4"/>
      <c r="D7" s="7"/>
      <c r="E7" s="6"/>
      <c r="F7" s="10"/>
      <c r="G7" s="8"/>
      <c r="H7" s="8"/>
      <c r="IN7" s="2"/>
      <c r="IO7" s="2"/>
      <c r="IP7" s="2"/>
      <c r="IQ7" s="2"/>
      <c r="IR7" s="2"/>
    </row>
    <row r="8" spans="2:252">
      <c r="B8" s="11" t="s">
        <v>3</v>
      </c>
      <c r="C8" s="11" t="s">
        <v>4</v>
      </c>
      <c r="D8" s="12" t="s">
        <v>5</v>
      </c>
      <c r="E8" s="11" t="s">
        <v>6</v>
      </c>
      <c r="F8" s="11" t="s">
        <v>7</v>
      </c>
      <c r="G8" s="13" t="s">
        <v>8</v>
      </c>
      <c r="H8" s="13" t="s">
        <v>9</v>
      </c>
      <c r="IN8" s="2"/>
      <c r="IO8" s="2"/>
      <c r="IP8" s="2"/>
      <c r="IQ8" s="2"/>
      <c r="IR8" s="2"/>
    </row>
    <row r="9" spans="2:252">
      <c r="B9" s="48">
        <v>1</v>
      </c>
      <c r="C9" s="46" t="s">
        <v>116</v>
      </c>
      <c r="D9" s="46" t="s">
        <v>117</v>
      </c>
      <c r="E9" s="87" t="s">
        <v>143</v>
      </c>
      <c r="F9" s="45" t="s">
        <v>114</v>
      </c>
      <c r="G9" s="85">
        <f>'May-26'!L10</f>
        <v>-11919.2</v>
      </c>
      <c r="H9" s="45" t="s">
        <v>112</v>
      </c>
      <c r="I9" s="55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  <c r="DK9" s="49"/>
      <c r="DL9" s="49"/>
      <c r="DM9" s="49"/>
      <c r="DN9" s="49"/>
      <c r="DO9" s="49"/>
      <c r="DP9" s="49"/>
      <c r="DQ9" s="49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49"/>
      <c r="EG9" s="49"/>
      <c r="EH9" s="49"/>
      <c r="EI9" s="49"/>
      <c r="EJ9" s="49"/>
      <c r="EK9" s="49"/>
      <c r="EL9" s="49"/>
      <c r="EM9" s="49"/>
      <c r="EN9" s="49"/>
      <c r="EO9" s="49"/>
      <c r="EP9" s="49"/>
      <c r="EQ9" s="49"/>
      <c r="ER9" s="49"/>
      <c r="ES9" s="49"/>
      <c r="ET9" s="49"/>
      <c r="EU9" s="49"/>
      <c r="EV9" s="49"/>
      <c r="EW9" s="49"/>
      <c r="EX9" s="49"/>
      <c r="EY9" s="49"/>
      <c r="EZ9" s="49"/>
      <c r="FA9" s="49"/>
      <c r="FB9" s="49"/>
      <c r="FC9" s="49"/>
      <c r="FD9" s="49"/>
      <c r="FE9" s="49"/>
      <c r="FF9" s="49"/>
      <c r="FG9" s="49"/>
      <c r="FH9" s="49"/>
      <c r="FI9" s="49"/>
      <c r="FJ9" s="49"/>
      <c r="FK9" s="49"/>
      <c r="FL9" s="49"/>
      <c r="FM9" s="49"/>
      <c r="FN9" s="49"/>
      <c r="FO9" s="49"/>
      <c r="FP9" s="49"/>
      <c r="FQ9" s="49"/>
      <c r="FR9" s="49"/>
      <c r="FS9" s="49"/>
      <c r="FT9" s="49"/>
      <c r="FU9" s="49"/>
      <c r="FV9" s="49"/>
      <c r="FW9" s="49"/>
      <c r="FX9" s="49"/>
      <c r="FY9" s="49"/>
      <c r="FZ9" s="49"/>
      <c r="GA9" s="49"/>
      <c r="GB9" s="49"/>
      <c r="GC9" s="49"/>
      <c r="GD9" s="49"/>
      <c r="GE9" s="49"/>
      <c r="GF9" s="49"/>
      <c r="GG9" s="49"/>
      <c r="GH9" s="49"/>
      <c r="GI9" s="49"/>
      <c r="GJ9" s="49"/>
      <c r="GK9" s="49"/>
      <c r="GL9" s="49"/>
      <c r="GM9" s="49"/>
      <c r="GN9" s="49"/>
      <c r="GO9" s="49"/>
      <c r="GP9" s="49"/>
      <c r="GQ9" s="49"/>
      <c r="GR9" s="49"/>
      <c r="GS9" s="49"/>
      <c r="GT9" s="49"/>
      <c r="GU9" s="49"/>
      <c r="GV9" s="49"/>
      <c r="GW9" s="49"/>
      <c r="GX9" s="49"/>
      <c r="GY9" s="49"/>
      <c r="GZ9" s="49"/>
      <c r="HA9" s="49"/>
      <c r="HB9" s="49"/>
      <c r="HC9" s="49"/>
      <c r="HD9" s="49"/>
      <c r="HE9" s="49"/>
      <c r="HF9" s="49"/>
      <c r="HG9" s="49"/>
      <c r="HH9" s="49"/>
      <c r="HI9" s="49"/>
      <c r="HJ9" s="49"/>
      <c r="HK9" s="49"/>
      <c r="HL9" s="49"/>
      <c r="HM9" s="49"/>
      <c r="HN9" s="49"/>
      <c r="HO9" s="49"/>
      <c r="HP9" s="49"/>
      <c r="HQ9" s="49"/>
      <c r="HR9" s="49"/>
      <c r="HS9" s="49"/>
      <c r="HT9" s="49"/>
      <c r="HU9" s="49"/>
      <c r="HV9" s="49"/>
      <c r="HW9" s="49"/>
      <c r="HX9" s="49"/>
      <c r="HY9" s="49"/>
      <c r="HZ9" s="49"/>
      <c r="IA9" s="49"/>
      <c r="IB9" s="49"/>
      <c r="IC9" s="49"/>
      <c r="ID9" s="49"/>
      <c r="IE9" s="49"/>
      <c r="IF9" s="49"/>
      <c r="IG9" s="49"/>
      <c r="IH9" s="49"/>
      <c r="II9" s="49"/>
      <c r="IJ9" s="49"/>
      <c r="IK9" s="49"/>
      <c r="IL9" s="49"/>
      <c r="IM9" s="49"/>
      <c r="IN9" s="50"/>
      <c r="IO9" s="50"/>
      <c r="IP9" s="50"/>
      <c r="IQ9" s="50"/>
      <c r="IR9" s="50"/>
    </row>
    <row r="10" spans="2:252">
      <c r="B10" s="48">
        <v>2</v>
      </c>
      <c r="C10" s="46"/>
      <c r="D10" s="46"/>
      <c r="E10" s="87"/>
      <c r="F10" s="45"/>
      <c r="G10" s="85"/>
      <c r="H10" s="45"/>
      <c r="I10" s="55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49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49"/>
      <c r="EG10" s="49"/>
      <c r="EH10" s="49"/>
      <c r="EI10" s="49"/>
      <c r="EJ10" s="49"/>
      <c r="EK10" s="49"/>
      <c r="EL10" s="49"/>
      <c r="EM10" s="49"/>
      <c r="EN10" s="49"/>
      <c r="EO10" s="49"/>
      <c r="EP10" s="49"/>
      <c r="EQ10" s="49"/>
      <c r="ER10" s="49"/>
      <c r="ES10" s="49"/>
      <c r="ET10" s="49"/>
      <c r="EU10" s="49"/>
      <c r="EV10" s="49"/>
      <c r="EW10" s="49"/>
      <c r="EX10" s="49"/>
      <c r="EY10" s="49"/>
      <c r="EZ10" s="49"/>
      <c r="FA10" s="49"/>
      <c r="FB10" s="49"/>
      <c r="FC10" s="49"/>
      <c r="FD10" s="49"/>
      <c r="FE10" s="49"/>
      <c r="FF10" s="49"/>
      <c r="FG10" s="49"/>
      <c r="FH10" s="49"/>
      <c r="FI10" s="49"/>
      <c r="FJ10" s="49"/>
      <c r="FK10" s="49"/>
      <c r="FL10" s="49"/>
      <c r="FM10" s="49"/>
      <c r="FN10" s="49"/>
      <c r="FO10" s="49"/>
      <c r="FP10" s="49"/>
      <c r="FQ10" s="49"/>
      <c r="FR10" s="49"/>
      <c r="FS10" s="49"/>
      <c r="FT10" s="49"/>
      <c r="FU10" s="49"/>
      <c r="FV10" s="49"/>
      <c r="FW10" s="49"/>
      <c r="FX10" s="49"/>
      <c r="FY10" s="49"/>
      <c r="FZ10" s="49"/>
      <c r="GA10" s="49"/>
      <c r="GB10" s="49"/>
      <c r="GC10" s="49"/>
      <c r="GD10" s="49"/>
      <c r="GE10" s="49"/>
      <c r="GF10" s="49"/>
      <c r="GG10" s="49"/>
      <c r="GH10" s="49"/>
      <c r="GI10" s="49"/>
      <c r="GJ10" s="49"/>
      <c r="GK10" s="49"/>
      <c r="GL10" s="49"/>
      <c r="GM10" s="49"/>
      <c r="GN10" s="49"/>
      <c r="GO10" s="49"/>
      <c r="GP10" s="49"/>
      <c r="GQ10" s="49"/>
      <c r="GR10" s="49"/>
      <c r="GS10" s="49"/>
      <c r="GT10" s="49"/>
      <c r="GU10" s="49"/>
      <c r="GV10" s="49"/>
      <c r="GW10" s="49"/>
      <c r="GX10" s="49"/>
      <c r="GY10" s="49"/>
      <c r="GZ10" s="49"/>
      <c r="HA10" s="49"/>
      <c r="HB10" s="49"/>
      <c r="HC10" s="49"/>
      <c r="HD10" s="49"/>
      <c r="HE10" s="49"/>
      <c r="HF10" s="49"/>
      <c r="HG10" s="49"/>
      <c r="HH10" s="49"/>
      <c r="HI10" s="49"/>
      <c r="HJ10" s="49"/>
      <c r="HK10" s="49"/>
      <c r="HL10" s="49"/>
      <c r="HM10" s="49"/>
      <c r="HN10" s="49"/>
      <c r="HO10" s="49"/>
      <c r="HP10" s="49"/>
      <c r="HQ10" s="49"/>
      <c r="HR10" s="49"/>
      <c r="HS10" s="49"/>
      <c r="HT10" s="49"/>
      <c r="HU10" s="49"/>
      <c r="HV10" s="49"/>
      <c r="HW10" s="49"/>
      <c r="HX10" s="49"/>
      <c r="HY10" s="49"/>
      <c r="HZ10" s="49"/>
      <c r="IA10" s="49"/>
      <c r="IB10" s="49"/>
      <c r="IC10" s="49"/>
      <c r="ID10" s="49"/>
      <c r="IE10" s="49"/>
      <c r="IF10" s="49"/>
      <c r="IG10" s="49"/>
      <c r="IH10" s="49"/>
      <c r="II10" s="49"/>
      <c r="IJ10" s="49"/>
      <c r="IK10" s="49"/>
      <c r="IL10" s="49"/>
      <c r="IM10" s="49"/>
      <c r="IN10" s="50"/>
      <c r="IO10" s="50"/>
      <c r="IP10" s="50"/>
      <c r="IQ10" s="50"/>
      <c r="IR10" s="50"/>
    </row>
    <row r="11" spans="2:252">
      <c r="B11" s="48">
        <v>3</v>
      </c>
      <c r="C11" s="46"/>
      <c r="D11" s="46"/>
      <c r="E11" s="87"/>
      <c r="F11" s="45"/>
      <c r="G11" s="85"/>
      <c r="H11" s="45"/>
      <c r="I11" s="55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49"/>
      <c r="DO11" s="49"/>
      <c r="DP11" s="49"/>
      <c r="DQ11" s="49"/>
      <c r="DR11" s="49"/>
      <c r="DS11" s="49"/>
      <c r="DT11" s="49"/>
      <c r="DU11" s="49"/>
      <c r="DV11" s="49"/>
      <c r="DW11" s="49"/>
      <c r="DX11" s="49"/>
      <c r="DY11" s="49"/>
      <c r="DZ11" s="49"/>
      <c r="EA11" s="49"/>
      <c r="EB11" s="49"/>
      <c r="EC11" s="49"/>
      <c r="ED11" s="49"/>
      <c r="EE11" s="49"/>
      <c r="EF11" s="49"/>
      <c r="EG11" s="49"/>
      <c r="EH11" s="49"/>
      <c r="EI11" s="49"/>
      <c r="EJ11" s="49"/>
      <c r="EK11" s="49"/>
      <c r="EL11" s="49"/>
      <c r="EM11" s="49"/>
      <c r="EN11" s="49"/>
      <c r="EO11" s="49"/>
      <c r="EP11" s="49"/>
      <c r="EQ11" s="49"/>
      <c r="ER11" s="49"/>
      <c r="ES11" s="49"/>
      <c r="ET11" s="49"/>
      <c r="EU11" s="49"/>
      <c r="EV11" s="49"/>
      <c r="EW11" s="49"/>
      <c r="EX11" s="49"/>
      <c r="EY11" s="49"/>
      <c r="EZ11" s="49"/>
      <c r="FA11" s="49"/>
      <c r="FB11" s="49"/>
      <c r="FC11" s="49"/>
      <c r="FD11" s="49"/>
      <c r="FE11" s="49"/>
      <c r="FF11" s="49"/>
      <c r="FG11" s="49"/>
      <c r="FH11" s="49"/>
      <c r="FI11" s="49"/>
      <c r="FJ11" s="49"/>
      <c r="FK11" s="49"/>
      <c r="FL11" s="49"/>
      <c r="FM11" s="49"/>
      <c r="FN11" s="49"/>
      <c r="FO11" s="49"/>
      <c r="FP11" s="49"/>
      <c r="FQ11" s="49"/>
      <c r="FR11" s="49"/>
      <c r="FS11" s="49"/>
      <c r="FT11" s="49"/>
      <c r="FU11" s="49"/>
      <c r="FV11" s="49"/>
      <c r="FW11" s="49"/>
      <c r="FX11" s="49"/>
      <c r="FY11" s="49"/>
      <c r="FZ11" s="49"/>
      <c r="GA11" s="49"/>
      <c r="GB11" s="49"/>
      <c r="GC11" s="49"/>
      <c r="GD11" s="49"/>
      <c r="GE11" s="49"/>
      <c r="GF11" s="49"/>
      <c r="GG11" s="49"/>
      <c r="GH11" s="49"/>
      <c r="GI11" s="49"/>
      <c r="GJ11" s="49"/>
      <c r="GK11" s="49"/>
      <c r="GL11" s="49"/>
      <c r="GM11" s="49"/>
      <c r="GN11" s="49"/>
      <c r="GO11" s="49"/>
      <c r="GP11" s="49"/>
      <c r="GQ11" s="49"/>
      <c r="GR11" s="49"/>
      <c r="GS11" s="49"/>
      <c r="GT11" s="49"/>
      <c r="GU11" s="49"/>
      <c r="GV11" s="49"/>
      <c r="GW11" s="49"/>
      <c r="GX11" s="49"/>
      <c r="GY11" s="49"/>
      <c r="GZ11" s="49"/>
      <c r="HA11" s="49"/>
      <c r="HB11" s="49"/>
      <c r="HC11" s="49"/>
      <c r="HD11" s="49"/>
      <c r="HE11" s="49"/>
      <c r="HF11" s="49"/>
      <c r="HG11" s="49"/>
      <c r="HH11" s="49"/>
      <c r="HI11" s="49"/>
      <c r="HJ11" s="49"/>
      <c r="HK11" s="49"/>
      <c r="HL11" s="49"/>
      <c r="HM11" s="49"/>
      <c r="HN11" s="49"/>
      <c r="HO11" s="49"/>
      <c r="HP11" s="49"/>
      <c r="HQ11" s="49"/>
      <c r="HR11" s="49"/>
      <c r="HS11" s="49"/>
      <c r="HT11" s="49"/>
      <c r="HU11" s="49"/>
      <c r="HV11" s="49"/>
      <c r="HW11" s="49"/>
      <c r="HX11" s="49"/>
      <c r="HY11" s="49"/>
      <c r="HZ11" s="49"/>
      <c r="IA11" s="49"/>
      <c r="IB11" s="49"/>
      <c r="IC11" s="49"/>
      <c r="ID11" s="49"/>
      <c r="IE11" s="49"/>
      <c r="IF11" s="49"/>
      <c r="IG11" s="49"/>
      <c r="IH11" s="49"/>
      <c r="II11" s="49"/>
      <c r="IJ11" s="49"/>
      <c r="IK11" s="49"/>
      <c r="IL11" s="49"/>
      <c r="IM11" s="49"/>
      <c r="IN11" s="50"/>
      <c r="IO11" s="50"/>
      <c r="IP11" s="50"/>
      <c r="IQ11" s="50"/>
      <c r="IR11" s="50"/>
    </row>
    <row r="12" spans="2:252">
      <c r="B12" s="14"/>
      <c r="C12" s="10"/>
      <c r="D12" s="15"/>
      <c r="E12" s="16"/>
      <c r="F12" s="17"/>
      <c r="G12" s="77">
        <f>SUM(G9:G11)</f>
        <v>-11919.2</v>
      </c>
      <c r="IN12" s="2"/>
      <c r="IO12" s="2"/>
      <c r="IP12" s="2"/>
      <c r="IQ12" s="2"/>
      <c r="IR12" s="2"/>
    </row>
    <row r="13" spans="2:252">
      <c r="B13" s="9" t="s">
        <v>10</v>
      </c>
      <c r="C13" s="18"/>
      <c r="D13" s="19"/>
      <c r="E13" s="20"/>
      <c r="F13" s="20"/>
      <c r="G13" s="8"/>
      <c r="H13" s="21"/>
      <c r="IN13" s="2"/>
      <c r="IO13" s="2"/>
      <c r="IP13" s="2"/>
      <c r="IQ13" s="2"/>
      <c r="IR13" s="2"/>
    </row>
    <row r="14" spans="2:252">
      <c r="B14" s="11" t="s">
        <v>3</v>
      </c>
      <c r="C14" s="11" t="s">
        <v>4</v>
      </c>
      <c r="D14" s="12" t="s">
        <v>5</v>
      </c>
      <c r="E14" s="11" t="s">
        <v>6</v>
      </c>
      <c r="F14" s="11" t="s">
        <v>7</v>
      </c>
      <c r="G14" s="13" t="s">
        <v>8</v>
      </c>
      <c r="H14" s="13" t="s">
        <v>9</v>
      </c>
      <c r="IN14" s="2"/>
      <c r="IO14" s="2"/>
      <c r="IP14" s="2"/>
      <c r="IQ14" s="2"/>
      <c r="IR14" s="2"/>
    </row>
    <row r="15" spans="2:252">
      <c r="B15" s="65">
        <v>1</v>
      </c>
      <c r="C15" s="46"/>
      <c r="D15" s="46"/>
      <c r="E15" s="46"/>
      <c r="F15" s="45"/>
      <c r="G15" s="74"/>
      <c r="H15" s="67"/>
      <c r="IN15" s="2"/>
      <c r="IO15" s="2"/>
      <c r="IP15" s="2"/>
      <c r="IQ15" s="2"/>
      <c r="IR15" s="2"/>
    </row>
    <row r="16" spans="2:252">
      <c r="B16" s="65">
        <v>2</v>
      </c>
      <c r="C16" s="46"/>
      <c r="D16" s="46"/>
      <c r="E16" s="46"/>
      <c r="F16" s="45"/>
      <c r="G16" s="64"/>
      <c r="H16" s="68"/>
      <c r="IN16" s="2"/>
      <c r="IO16" s="2"/>
      <c r="IP16" s="2"/>
      <c r="IQ16" s="2"/>
      <c r="IR16" s="2"/>
    </row>
    <row r="17" spans="2:252">
      <c r="B17" s="14"/>
      <c r="C17" s="22"/>
      <c r="D17" s="23"/>
      <c r="E17" s="24"/>
      <c r="F17" s="25"/>
      <c r="G17" s="61">
        <f>ROUND(SUM(G15:G16),0)</f>
        <v>0</v>
      </c>
      <c r="IN17" s="2"/>
      <c r="IO17" s="2"/>
      <c r="IP17" s="2"/>
      <c r="IQ17" s="2"/>
      <c r="IR17" s="2"/>
    </row>
    <row r="18" spans="2:252">
      <c r="B18" s="26" t="s">
        <v>11</v>
      </c>
      <c r="C18" s="22"/>
      <c r="D18" s="27"/>
      <c r="E18" s="28"/>
      <c r="F18" s="29"/>
      <c r="G18" s="30"/>
      <c r="H18" s="31"/>
      <c r="IN18" s="2"/>
      <c r="IO18" s="2"/>
      <c r="IP18" s="2"/>
      <c r="IQ18" s="2"/>
      <c r="IR18" s="2"/>
    </row>
    <row r="19" spans="2:252">
      <c r="B19" s="11" t="s">
        <v>3</v>
      </c>
      <c r="C19" s="11" t="s">
        <v>4</v>
      </c>
      <c r="D19" s="12" t="s">
        <v>5</v>
      </c>
      <c r="E19" s="11" t="s">
        <v>6</v>
      </c>
      <c r="F19" s="11" t="s">
        <v>7</v>
      </c>
      <c r="G19" s="13" t="s">
        <v>8</v>
      </c>
      <c r="H19" s="13" t="s">
        <v>9</v>
      </c>
      <c r="IN19" s="2"/>
      <c r="IO19" s="2"/>
      <c r="IP19" s="2"/>
      <c r="IQ19" s="2"/>
      <c r="IR19" s="2"/>
    </row>
    <row r="20" spans="2:252">
      <c r="B20" s="65">
        <v>1</v>
      </c>
      <c r="C20" s="33"/>
      <c r="D20" s="52"/>
      <c r="E20" s="56"/>
      <c r="F20" s="57"/>
      <c r="G20" s="81"/>
      <c r="H20" s="58"/>
      <c r="IN20" s="2"/>
      <c r="IO20" s="2"/>
      <c r="IP20" s="2"/>
      <c r="IQ20" s="2"/>
      <c r="IR20" s="2"/>
    </row>
    <row r="21" spans="2:252">
      <c r="B21" s="65">
        <v>2</v>
      </c>
      <c r="C21" s="33"/>
      <c r="D21" s="52"/>
      <c r="E21" s="56"/>
      <c r="F21" s="57"/>
      <c r="G21" s="81"/>
      <c r="H21" s="58"/>
      <c r="IN21" s="2"/>
      <c r="IO21" s="2"/>
      <c r="IP21" s="2"/>
      <c r="IQ21" s="2"/>
      <c r="IR21" s="2"/>
    </row>
    <row r="22" spans="2:252">
      <c r="B22" s="34"/>
      <c r="C22" s="22"/>
      <c r="D22" s="19"/>
      <c r="E22" s="20"/>
      <c r="F22" s="35"/>
      <c r="G22" s="82">
        <f>ROUND(SUM(G20:G21),0)</f>
        <v>0</v>
      </c>
      <c r="IN22" s="2"/>
      <c r="IO22" s="2"/>
      <c r="IP22" s="2"/>
      <c r="IQ22" s="2"/>
      <c r="IR22" s="2"/>
    </row>
    <row r="23" spans="2:252">
      <c r="B23" s="9" t="s">
        <v>12</v>
      </c>
      <c r="C23" s="22"/>
      <c r="D23" s="19"/>
      <c r="E23" s="20"/>
      <c r="F23" s="20"/>
      <c r="G23" s="36"/>
      <c r="H23" s="37"/>
      <c r="IN23" s="2"/>
      <c r="IO23" s="2"/>
      <c r="IP23" s="2"/>
      <c r="IQ23" s="2"/>
      <c r="IR23" s="2"/>
    </row>
    <row r="24" spans="2:252">
      <c r="B24" s="11" t="s">
        <v>3</v>
      </c>
      <c r="C24" s="11" t="s">
        <v>4</v>
      </c>
      <c r="D24" s="12" t="s">
        <v>5</v>
      </c>
      <c r="E24" s="11" t="s">
        <v>13</v>
      </c>
      <c r="F24" s="11" t="s">
        <v>7</v>
      </c>
      <c r="G24" s="13" t="s">
        <v>8</v>
      </c>
      <c r="H24" s="13" t="s">
        <v>9</v>
      </c>
      <c r="IN24" s="2"/>
      <c r="IO24" s="2"/>
      <c r="IP24" s="2"/>
      <c r="IQ24" s="2"/>
      <c r="IR24" s="2"/>
    </row>
    <row r="25" spans="2:252">
      <c r="B25" s="33">
        <v>1</v>
      </c>
      <c r="C25" s="33"/>
      <c r="D25" s="47"/>
      <c r="E25" s="33"/>
      <c r="F25" s="84"/>
      <c r="G25" s="74"/>
      <c r="H25" s="84"/>
      <c r="IN25" s="2"/>
      <c r="IO25" s="2"/>
      <c r="IP25" s="2"/>
      <c r="IQ25" s="2"/>
      <c r="IR25" s="2"/>
    </row>
    <row r="26" spans="2:252">
      <c r="B26" s="32">
        <v>2</v>
      </c>
      <c r="C26" s="33"/>
      <c r="D26" s="47"/>
      <c r="E26" s="33"/>
      <c r="F26" s="75"/>
      <c r="G26" s="81"/>
      <c r="H26" s="75"/>
      <c r="IN26" s="2"/>
      <c r="IO26" s="2"/>
      <c r="IP26" s="2"/>
      <c r="IQ26" s="2"/>
      <c r="IR26" s="2"/>
    </row>
    <row r="27" spans="2:252">
      <c r="B27" s="14"/>
      <c r="C27" s="18"/>
      <c r="D27" s="19"/>
      <c r="E27" s="20"/>
      <c r="F27" s="20"/>
      <c r="G27" s="83">
        <f>SUM(G25:G26)</f>
        <v>0</v>
      </c>
      <c r="IN27" s="2"/>
      <c r="IO27" s="2"/>
      <c r="IP27" s="2"/>
      <c r="IQ27" s="2"/>
      <c r="IR27" s="2"/>
    </row>
    <row r="28" spans="2:252">
      <c r="B28" s="14"/>
      <c r="C28" s="18"/>
      <c r="D28" s="19"/>
      <c r="E28" s="20"/>
      <c r="F28" s="20"/>
      <c r="G28" s="36"/>
      <c r="H28" s="62"/>
      <c r="IN28" s="2"/>
      <c r="IO28" s="2"/>
      <c r="IP28" s="2"/>
      <c r="IQ28" s="2"/>
      <c r="IR28" s="2"/>
    </row>
    <row r="29" spans="2:252">
      <c r="B29" s="101" t="s">
        <v>14</v>
      </c>
      <c r="C29" s="102"/>
      <c r="D29" s="102"/>
      <c r="E29" s="102"/>
      <c r="F29" s="103"/>
      <c r="G29" s="76">
        <f>G5+G12+G17+G22+G27</f>
        <v>2883605.1199999996</v>
      </c>
      <c r="IN29" s="2"/>
      <c r="IO29" s="2"/>
      <c r="IP29" s="2"/>
      <c r="IQ29" s="2"/>
      <c r="IR29" s="2"/>
    </row>
    <row r="30" spans="2:252">
      <c r="B30" s="38"/>
      <c r="C30" s="38"/>
      <c r="D30" s="38"/>
      <c r="E30" s="38"/>
      <c r="F30" s="38"/>
      <c r="G30" s="78"/>
      <c r="H30" s="62"/>
      <c r="IN30" s="2"/>
      <c r="IO30" s="2"/>
      <c r="IP30" s="2"/>
      <c r="IQ30" s="2"/>
      <c r="IR30" s="2"/>
    </row>
    <row r="31" spans="2:252">
      <c r="B31" s="104" t="s">
        <v>15</v>
      </c>
      <c r="C31" s="105"/>
      <c r="D31" s="105"/>
      <c r="E31" s="105"/>
      <c r="F31" s="106"/>
      <c r="G31" s="79">
        <f>-G29+G33</f>
        <v>-0.27759999968111515</v>
      </c>
      <c r="IN31" s="2"/>
      <c r="IO31" s="2"/>
      <c r="IP31" s="2"/>
      <c r="IQ31" s="2"/>
      <c r="IR31" s="2"/>
    </row>
    <row r="32" spans="2:252">
      <c r="B32" s="71"/>
      <c r="C32" s="72"/>
      <c r="D32" s="73"/>
      <c r="E32" s="72"/>
      <c r="F32" s="72"/>
      <c r="G32" s="39"/>
      <c r="H32" s="63"/>
      <c r="IN32" s="2"/>
      <c r="IO32" s="2"/>
      <c r="IP32" s="2"/>
      <c r="IQ32" s="2"/>
      <c r="IR32" s="2"/>
    </row>
    <row r="33" spans="2:256">
      <c r="B33" s="89" t="s">
        <v>16</v>
      </c>
      <c r="C33" s="90"/>
      <c r="D33" s="90"/>
      <c r="E33" s="90"/>
      <c r="F33" s="91"/>
      <c r="G33" s="80">
        <f>'May-26'!N22</f>
        <v>2883604.8424</v>
      </c>
      <c r="IN33" s="2"/>
      <c r="IO33" s="2"/>
      <c r="IP33" s="2"/>
      <c r="IQ33" s="2"/>
      <c r="IR33" s="2"/>
    </row>
    <row r="34" spans="2:256">
      <c r="IN34" s="2"/>
      <c r="IO34" s="2"/>
      <c r="IP34" s="2"/>
      <c r="IQ34" s="2"/>
      <c r="IR34" s="2"/>
    </row>
    <row r="35" spans="2:256">
      <c r="IN35" s="2"/>
      <c r="IO35" s="2"/>
      <c r="IP35" s="2"/>
      <c r="IQ35" s="2"/>
      <c r="IR35" s="2"/>
    </row>
    <row r="36" spans="2:256">
      <c r="IN36" s="2"/>
      <c r="IO36" s="2"/>
      <c r="IP36" s="2"/>
      <c r="IQ36" s="2"/>
      <c r="IR36" s="2"/>
    </row>
    <row r="37" spans="2:256">
      <c r="IN37" s="2"/>
      <c r="IO37" s="2"/>
      <c r="IP37" s="2"/>
      <c r="IQ37" s="2"/>
      <c r="IR37" s="2"/>
    </row>
    <row r="38" spans="2:256">
      <c r="IN38" s="2"/>
      <c r="IO38" s="2"/>
      <c r="IP38" s="2"/>
      <c r="IQ38" s="2"/>
      <c r="IR38" s="2"/>
    </row>
    <row r="39" spans="2:256">
      <c r="IN39" s="2"/>
      <c r="IO39" s="2"/>
      <c r="IP39" s="2"/>
      <c r="IQ39" s="2"/>
      <c r="IR39" s="2"/>
    </row>
    <row r="40" spans="2:256">
      <c r="B40" s="66"/>
      <c r="C40" s="66"/>
      <c r="E40" s="66"/>
      <c r="G40" s="66"/>
      <c r="IN40" s="2"/>
      <c r="IO40" s="2"/>
      <c r="IP40" s="2"/>
      <c r="IQ40" s="2"/>
      <c r="IR40" s="2"/>
    </row>
    <row r="41" spans="2:256">
      <c r="B41" s="41" t="s">
        <v>17</v>
      </c>
      <c r="C41" s="41"/>
      <c r="D41" s="42"/>
      <c r="E41" s="41" t="s">
        <v>18</v>
      </c>
      <c r="F41" s="41"/>
      <c r="G41" s="41" t="s">
        <v>20</v>
      </c>
      <c r="H41" s="41"/>
      <c r="IN41" s="2"/>
      <c r="IO41" s="2"/>
      <c r="IP41" s="2"/>
      <c r="IQ41" s="2"/>
      <c r="IR41" s="2"/>
    </row>
    <row r="42" spans="2:256">
      <c r="B42" s="41" t="s">
        <v>41</v>
      </c>
      <c r="C42" s="41"/>
      <c r="D42" s="42"/>
      <c r="E42" s="41" t="s">
        <v>19</v>
      </c>
      <c r="F42" s="41"/>
      <c r="G42" s="41"/>
      <c r="H42" s="41"/>
      <c r="I42" s="59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  <c r="AB42" s="41"/>
      <c r="AC42" s="41"/>
      <c r="AD42" s="41"/>
      <c r="AE42" s="41"/>
      <c r="AF42" s="41"/>
      <c r="AG42" s="41"/>
      <c r="AH42" s="41"/>
      <c r="AI42" s="41"/>
      <c r="AJ42" s="41"/>
      <c r="AK42" s="41"/>
      <c r="AL42" s="41"/>
      <c r="AM42" s="41"/>
      <c r="AN42" s="41"/>
      <c r="AO42" s="41"/>
      <c r="AP42" s="41"/>
      <c r="AQ42" s="41"/>
      <c r="AR42" s="41"/>
      <c r="AS42" s="41"/>
      <c r="AT42" s="41"/>
      <c r="AU42" s="41"/>
      <c r="AV42" s="41"/>
      <c r="AW42" s="41"/>
      <c r="AX42" s="41"/>
      <c r="AY42" s="41"/>
      <c r="AZ42" s="41"/>
      <c r="BA42" s="41"/>
      <c r="BB42" s="41"/>
      <c r="BC42" s="41"/>
      <c r="BD42" s="41"/>
      <c r="BE42" s="41"/>
      <c r="BF42" s="41"/>
      <c r="BG42" s="41"/>
      <c r="BH42" s="41"/>
      <c r="BI42" s="41"/>
      <c r="BJ42" s="41"/>
      <c r="BK42" s="41"/>
      <c r="BL42" s="41"/>
      <c r="BM42" s="41"/>
      <c r="BN42" s="41"/>
      <c r="BO42" s="41"/>
      <c r="BP42" s="41"/>
      <c r="BQ42" s="41"/>
      <c r="BR42" s="41"/>
      <c r="BS42" s="41"/>
      <c r="BT42" s="41"/>
      <c r="BU42" s="41"/>
      <c r="BV42" s="41"/>
      <c r="BW42" s="41"/>
      <c r="BX42" s="41"/>
      <c r="BY42" s="41"/>
      <c r="BZ42" s="41"/>
      <c r="CA42" s="41"/>
      <c r="CB42" s="41"/>
      <c r="CC42" s="41"/>
      <c r="CD42" s="41"/>
      <c r="CE42" s="41"/>
      <c r="CF42" s="41"/>
      <c r="CG42" s="41"/>
      <c r="CH42" s="41"/>
      <c r="CI42" s="41"/>
      <c r="CJ42" s="41"/>
      <c r="CK42" s="41"/>
      <c r="CL42" s="41"/>
      <c r="CM42" s="41"/>
      <c r="CN42" s="41"/>
      <c r="CO42" s="41"/>
      <c r="CP42" s="41"/>
      <c r="CQ42" s="41"/>
      <c r="CR42" s="41"/>
      <c r="CS42" s="41"/>
      <c r="CT42" s="41"/>
      <c r="CU42" s="41"/>
      <c r="CV42" s="41"/>
      <c r="CW42" s="41"/>
      <c r="CX42" s="41"/>
      <c r="CY42" s="41"/>
      <c r="CZ42" s="41"/>
      <c r="DA42" s="41"/>
      <c r="DB42" s="41"/>
      <c r="DC42" s="41"/>
      <c r="DD42" s="41"/>
      <c r="DE42" s="41"/>
      <c r="DF42" s="41"/>
      <c r="DG42" s="41"/>
      <c r="DH42" s="41"/>
      <c r="DI42" s="41"/>
      <c r="DJ42" s="41"/>
      <c r="DK42" s="41"/>
      <c r="DL42" s="41"/>
      <c r="DM42" s="41"/>
      <c r="DN42" s="41"/>
      <c r="DO42" s="41"/>
      <c r="DP42" s="41"/>
      <c r="DQ42" s="41"/>
      <c r="DR42" s="41"/>
      <c r="DS42" s="41"/>
      <c r="DT42" s="41"/>
      <c r="DU42" s="41"/>
      <c r="DV42" s="41"/>
      <c r="DW42" s="41"/>
      <c r="DX42" s="41"/>
      <c r="DY42" s="41"/>
      <c r="DZ42" s="41"/>
      <c r="EA42" s="41"/>
      <c r="EB42" s="41"/>
      <c r="EC42" s="41"/>
      <c r="ED42" s="41"/>
      <c r="EE42" s="41"/>
      <c r="EF42" s="41"/>
      <c r="EG42" s="41"/>
      <c r="EH42" s="41"/>
      <c r="EI42" s="41"/>
      <c r="EJ42" s="41"/>
      <c r="EK42" s="41"/>
      <c r="EL42" s="41"/>
      <c r="EM42" s="41"/>
      <c r="EN42" s="41"/>
      <c r="EO42" s="41"/>
      <c r="EP42" s="41"/>
      <c r="EQ42" s="41"/>
      <c r="ER42" s="41"/>
      <c r="ES42" s="41"/>
      <c r="ET42" s="41"/>
      <c r="EU42" s="41"/>
      <c r="EV42" s="41"/>
      <c r="EW42" s="41"/>
      <c r="EX42" s="41"/>
      <c r="EY42" s="41"/>
      <c r="EZ42" s="41"/>
      <c r="FA42" s="41"/>
      <c r="FB42" s="41"/>
      <c r="FC42" s="41"/>
      <c r="FD42" s="41"/>
      <c r="FE42" s="41"/>
      <c r="FF42" s="41"/>
      <c r="FG42" s="41"/>
      <c r="FH42" s="41"/>
      <c r="FI42" s="41"/>
      <c r="FJ42" s="41"/>
      <c r="FK42" s="41"/>
      <c r="FL42" s="41"/>
      <c r="FM42" s="41"/>
      <c r="FN42" s="41"/>
      <c r="FO42" s="41"/>
      <c r="FP42" s="41"/>
      <c r="FQ42" s="41"/>
      <c r="FR42" s="41"/>
      <c r="FS42" s="41"/>
      <c r="FT42" s="41"/>
      <c r="FU42" s="41"/>
      <c r="FV42" s="41"/>
      <c r="FW42" s="41"/>
      <c r="FX42" s="41"/>
      <c r="FY42" s="41"/>
      <c r="FZ42" s="41"/>
      <c r="GA42" s="41"/>
      <c r="GB42" s="41"/>
      <c r="GC42" s="41"/>
      <c r="GD42" s="41"/>
      <c r="GE42" s="41"/>
      <c r="GF42" s="41"/>
      <c r="GG42" s="41"/>
      <c r="GH42" s="41"/>
      <c r="GI42" s="41"/>
      <c r="GJ42" s="41"/>
      <c r="GK42" s="41"/>
      <c r="GL42" s="41"/>
      <c r="GM42" s="41"/>
      <c r="GN42" s="41"/>
      <c r="GO42" s="41"/>
      <c r="GP42" s="41"/>
      <c r="GQ42" s="41"/>
      <c r="GR42" s="41"/>
      <c r="GS42" s="41"/>
      <c r="GT42" s="41"/>
      <c r="GU42" s="41"/>
      <c r="GV42" s="41"/>
      <c r="GW42" s="41"/>
      <c r="GX42" s="41"/>
      <c r="GY42" s="41"/>
      <c r="GZ42" s="41"/>
      <c r="HA42" s="41"/>
      <c r="HB42" s="41"/>
      <c r="HC42" s="41"/>
      <c r="HD42" s="41"/>
      <c r="HE42" s="41"/>
      <c r="HF42" s="41"/>
      <c r="HG42" s="41"/>
      <c r="HH42" s="41"/>
      <c r="HI42" s="41"/>
      <c r="HJ42" s="41"/>
      <c r="HK42" s="41"/>
      <c r="HL42" s="41"/>
      <c r="HM42" s="41"/>
      <c r="HN42" s="41"/>
      <c r="HO42" s="41"/>
      <c r="HP42" s="41"/>
      <c r="HQ42" s="41"/>
      <c r="HR42" s="41"/>
      <c r="HS42" s="41"/>
      <c r="HT42" s="41"/>
      <c r="HU42" s="41"/>
      <c r="HV42" s="41"/>
      <c r="HW42" s="41"/>
      <c r="HX42" s="41"/>
      <c r="HY42" s="41"/>
      <c r="HZ42" s="41"/>
      <c r="IA42" s="41"/>
      <c r="IB42" s="41"/>
      <c r="IC42" s="41"/>
      <c r="ID42" s="41"/>
      <c r="IE42" s="41"/>
      <c r="IF42" s="41"/>
      <c r="IG42" s="41"/>
      <c r="IH42" s="41"/>
      <c r="II42" s="41"/>
      <c r="IJ42" s="41"/>
      <c r="IK42" s="41"/>
      <c r="IL42" s="41"/>
      <c r="IM42" s="41"/>
      <c r="IN42" s="53"/>
      <c r="IO42" s="53"/>
      <c r="IP42" s="53"/>
      <c r="IQ42" s="53"/>
      <c r="IR42" s="53"/>
      <c r="IS42" s="60"/>
      <c r="IT42" s="60"/>
      <c r="IU42" s="60"/>
      <c r="IV42" s="60"/>
    </row>
    <row r="43" spans="2:256">
      <c r="B43" s="41" t="s">
        <v>21</v>
      </c>
      <c r="E43" s="41" t="s">
        <v>49</v>
      </c>
      <c r="G43" s="41"/>
      <c r="IN43" s="2"/>
      <c r="IO43" s="2"/>
      <c r="IP43" s="2"/>
      <c r="IQ43" s="2"/>
      <c r="IR43" s="2"/>
    </row>
    <row r="44" spans="2:256">
      <c r="IN44" s="2"/>
      <c r="IO44" s="2"/>
      <c r="IP44" s="2"/>
      <c r="IQ44" s="2"/>
      <c r="IR44" s="2"/>
    </row>
    <row r="45" spans="2:256">
      <c r="IN45" s="2"/>
      <c r="IO45" s="2"/>
      <c r="IP45" s="2"/>
      <c r="IQ45" s="2"/>
      <c r="IR45" s="2"/>
    </row>
    <row r="46" spans="2:256">
      <c r="IN46" s="2"/>
      <c r="IO46" s="2"/>
      <c r="IP46" s="2"/>
      <c r="IQ46" s="2"/>
      <c r="IR46" s="2"/>
    </row>
    <row r="47" spans="2:256">
      <c r="H47" s="43"/>
      <c r="IN47" s="2"/>
      <c r="IO47" s="2"/>
      <c r="IP47" s="2"/>
      <c r="IQ47" s="2"/>
      <c r="IR47" s="2"/>
    </row>
    <row r="48" spans="2:256">
      <c r="IN48" s="2"/>
      <c r="IO48" s="2"/>
      <c r="IP48" s="2"/>
      <c r="IQ48" s="2"/>
      <c r="IR48" s="2"/>
    </row>
    <row r="49" spans="6:252">
      <c r="IN49" s="2"/>
      <c r="IO49" s="2"/>
      <c r="IP49" s="2"/>
      <c r="IQ49" s="2"/>
      <c r="IR49" s="2"/>
    </row>
    <row r="50" spans="6:252">
      <c r="IN50" s="2"/>
      <c r="IO50" s="2"/>
      <c r="IP50" s="2"/>
      <c r="IQ50" s="2"/>
      <c r="IR50" s="2"/>
    </row>
    <row r="51" spans="6:252">
      <c r="IN51" s="2"/>
      <c r="IO51" s="2"/>
      <c r="IP51" s="2"/>
      <c r="IQ51" s="2"/>
      <c r="IR51" s="2"/>
    </row>
    <row r="52" spans="6:252">
      <c r="IN52" s="2"/>
      <c r="IO52" s="2"/>
      <c r="IP52" s="2"/>
      <c r="IQ52" s="2"/>
      <c r="IR52" s="2"/>
    </row>
    <row r="53" spans="6:252">
      <c r="IN53" s="2"/>
      <c r="IO53" s="2"/>
      <c r="IP53" s="2"/>
      <c r="IQ53" s="2"/>
      <c r="IR53" s="2"/>
    </row>
    <row r="54" spans="6:252">
      <c r="IN54" s="2"/>
      <c r="IO54" s="2"/>
      <c r="IP54" s="2"/>
      <c r="IQ54" s="2"/>
      <c r="IR54" s="2"/>
    </row>
    <row r="55" spans="6:252">
      <c r="F55" s="36"/>
      <c r="G55" s="36"/>
      <c r="IN55" s="2"/>
      <c r="IO55" s="2"/>
      <c r="IP55" s="2"/>
      <c r="IQ55" s="2"/>
      <c r="IR55" s="2"/>
    </row>
    <row r="56" spans="6:252">
      <c r="F56" s="36"/>
      <c r="G56" s="36"/>
      <c r="IN56" s="2"/>
      <c r="IO56" s="2"/>
      <c r="IP56" s="2"/>
      <c r="IQ56" s="2"/>
      <c r="IR56" s="2"/>
    </row>
    <row r="57" spans="6:252">
      <c r="IN57" s="2"/>
      <c r="IO57" s="2"/>
      <c r="IP57" s="2"/>
      <c r="IQ57" s="2"/>
      <c r="IR57" s="2"/>
    </row>
    <row r="58" spans="6:252">
      <c r="IN58" s="2"/>
      <c r="IO58" s="2"/>
      <c r="IP58" s="2"/>
      <c r="IQ58" s="2"/>
      <c r="IR58" s="2"/>
    </row>
    <row r="59" spans="6:252">
      <c r="F59" s="44"/>
      <c r="G59" s="44"/>
      <c r="IN59" s="2"/>
      <c r="IO59" s="2"/>
      <c r="IP59" s="2"/>
      <c r="IQ59" s="2"/>
      <c r="IR59" s="2"/>
    </row>
    <row r="60" spans="6:252">
      <c r="IN60" s="2"/>
      <c r="IO60" s="2"/>
      <c r="IP60" s="2"/>
      <c r="IQ60" s="2"/>
      <c r="IR60" s="2"/>
    </row>
    <row r="61" spans="6:252">
      <c r="IN61" s="2"/>
      <c r="IO61" s="2"/>
      <c r="IP61" s="2"/>
      <c r="IQ61" s="2"/>
      <c r="IR61" s="2"/>
    </row>
    <row r="62" spans="6:252">
      <c r="G62" s="44"/>
      <c r="IN62" s="2"/>
      <c r="IO62" s="2"/>
      <c r="IP62" s="2"/>
      <c r="IQ62" s="2"/>
      <c r="IR62" s="2"/>
    </row>
    <row r="63" spans="6:252">
      <c r="IN63" s="2"/>
      <c r="IO63" s="2"/>
      <c r="IP63" s="2"/>
      <c r="IQ63" s="2"/>
      <c r="IR63" s="2"/>
    </row>
    <row r="64" spans="6:252">
      <c r="IN64" s="2"/>
      <c r="IO64" s="2"/>
      <c r="IP64" s="2"/>
      <c r="IQ64" s="2"/>
      <c r="IR64" s="2"/>
    </row>
    <row r="65" spans="6:252">
      <c r="IN65" s="2"/>
      <c r="IO65" s="2"/>
      <c r="IP65" s="2"/>
      <c r="IQ65" s="2"/>
      <c r="IR65" s="2"/>
    </row>
    <row r="66" spans="6:252">
      <c r="IN66" s="2"/>
      <c r="IO66" s="2"/>
      <c r="IP66" s="2"/>
      <c r="IQ66" s="2"/>
      <c r="IR66" s="2"/>
    </row>
    <row r="67" spans="6:252">
      <c r="F67" s="36"/>
      <c r="IN67" s="2"/>
      <c r="IO67" s="2"/>
      <c r="IP67" s="2"/>
      <c r="IQ67" s="2"/>
      <c r="IR67" s="2"/>
    </row>
    <row r="68" spans="6:252">
      <c r="F68" s="36"/>
      <c r="IN68" s="2"/>
      <c r="IO68" s="2"/>
      <c r="IP68" s="2"/>
      <c r="IQ68" s="2"/>
      <c r="IR68" s="2"/>
    </row>
  </sheetData>
  <mergeCells count="6">
    <mergeCell ref="B33:F33"/>
    <mergeCell ref="B1:H1"/>
    <mergeCell ref="B2:H2"/>
    <mergeCell ref="B3:H3"/>
    <mergeCell ref="B29:F29"/>
    <mergeCell ref="B31:F31"/>
  </mergeCells>
  <pageMargins left="0.33" right="0.23" top="0.36" bottom="0.43" header="0.16" footer="0.16"/>
  <pageSetup scale="61" fitToHeight="0" orientation="portrait" r:id="rId1"/>
  <colBreaks count="1" manualBreakCount="1"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2"/>
  <sheetViews>
    <sheetView tabSelected="1" workbookViewId="0">
      <selection activeCell="M21" sqref="M21"/>
    </sheetView>
  </sheetViews>
  <sheetFormatPr defaultRowHeight="15"/>
  <cols>
    <col min="1" max="11" width="9.140625" style="86"/>
    <col min="12" max="12" width="14.28515625" style="88" bestFit="1" customWidth="1"/>
    <col min="13" max="13" width="9.140625" style="86"/>
    <col min="14" max="14" width="14.28515625" style="88" bestFit="1" customWidth="1"/>
    <col min="15" max="15" width="11.5703125" style="86" bestFit="1" customWidth="1"/>
    <col min="16" max="16384" width="9.140625" style="86"/>
  </cols>
  <sheetData>
    <row r="1" spans="1:17">
      <c r="A1" s="86" t="s">
        <v>22</v>
      </c>
      <c r="B1" s="86" t="s">
        <v>23</v>
      </c>
      <c r="C1" s="86" t="s">
        <v>24</v>
      </c>
      <c r="D1" s="86" t="s">
        <v>25</v>
      </c>
      <c r="E1" s="86" t="s">
        <v>26</v>
      </c>
      <c r="F1" s="86" t="s">
        <v>9</v>
      </c>
      <c r="G1" s="86" t="s">
        <v>27</v>
      </c>
      <c r="H1" s="86" t="s">
        <v>46</v>
      </c>
      <c r="I1" s="86" t="s">
        <v>28</v>
      </c>
      <c r="J1" s="86" t="s">
        <v>29</v>
      </c>
      <c r="K1" s="86" t="s">
        <v>30</v>
      </c>
      <c r="L1" s="108" t="s">
        <v>31</v>
      </c>
      <c r="M1" s="86" t="s">
        <v>32</v>
      </c>
      <c r="N1" s="88" t="s">
        <v>33</v>
      </c>
      <c r="O1" s="86" t="s">
        <v>50</v>
      </c>
      <c r="P1" s="86" t="s">
        <v>51</v>
      </c>
      <c r="Q1" s="86" t="s">
        <v>56</v>
      </c>
    </row>
    <row r="2" spans="1:17">
      <c r="A2" s="86" t="s">
        <v>34</v>
      </c>
      <c r="B2" s="86" t="s">
        <v>35</v>
      </c>
      <c r="F2" s="86" t="s">
        <v>36</v>
      </c>
      <c r="L2" s="108"/>
      <c r="M2" s="86" t="s">
        <v>37</v>
      </c>
      <c r="N2" s="88">
        <v>1521079.2615</v>
      </c>
    </row>
    <row r="3" spans="1:17">
      <c r="A3" s="86" t="s">
        <v>137</v>
      </c>
      <c r="B3" s="86" t="s">
        <v>137</v>
      </c>
      <c r="C3" s="86" t="s">
        <v>53</v>
      </c>
      <c r="D3" s="86" t="s">
        <v>142</v>
      </c>
      <c r="E3" s="86" t="s">
        <v>141</v>
      </c>
      <c r="F3" s="86" t="s">
        <v>140</v>
      </c>
      <c r="I3" s="86" t="s">
        <v>139</v>
      </c>
      <c r="J3" s="86" t="s">
        <v>138</v>
      </c>
      <c r="K3" s="86" t="s">
        <v>37</v>
      </c>
      <c r="L3" s="108">
        <v>22000000</v>
      </c>
      <c r="M3" s="86" t="s">
        <v>37</v>
      </c>
      <c r="N3" s="88">
        <v>23521079.261500001</v>
      </c>
      <c r="O3" s="107">
        <f>N2+L3</f>
        <v>23521079.261500001</v>
      </c>
    </row>
    <row r="4" spans="1:17">
      <c r="A4" s="86" t="s">
        <v>137</v>
      </c>
      <c r="B4" s="86" t="s">
        <v>137</v>
      </c>
      <c r="C4" s="86" t="s">
        <v>52</v>
      </c>
      <c r="D4" s="86" t="s">
        <v>136</v>
      </c>
      <c r="E4" s="86" t="s">
        <v>135</v>
      </c>
      <c r="F4" s="86" t="s">
        <v>134</v>
      </c>
      <c r="I4" s="86" t="s">
        <v>44</v>
      </c>
      <c r="J4" s="86" t="s">
        <v>45</v>
      </c>
      <c r="K4" s="86" t="s">
        <v>37</v>
      </c>
      <c r="L4" s="108">
        <v>-17929400</v>
      </c>
      <c r="M4" s="86" t="s">
        <v>37</v>
      </c>
      <c r="N4" s="88">
        <v>5591679.2615</v>
      </c>
      <c r="O4" s="107">
        <f t="shared" ref="O4:O22" si="0">N3+L4</f>
        <v>5591679.261500001</v>
      </c>
    </row>
    <row r="5" spans="1:17">
      <c r="A5" s="86" t="s">
        <v>133</v>
      </c>
      <c r="B5" s="86" t="s">
        <v>133</v>
      </c>
      <c r="C5" s="86" t="s">
        <v>52</v>
      </c>
      <c r="D5" s="86" t="s">
        <v>132</v>
      </c>
      <c r="E5" s="86" t="s">
        <v>131</v>
      </c>
      <c r="F5" s="86" t="s">
        <v>130</v>
      </c>
      <c r="I5" s="86" t="s">
        <v>129</v>
      </c>
      <c r="J5" s="86" t="s">
        <v>128</v>
      </c>
      <c r="K5" s="86" t="s">
        <v>37</v>
      </c>
      <c r="L5" s="108">
        <v>-40771.695</v>
      </c>
      <c r="M5" s="86" t="s">
        <v>37</v>
      </c>
      <c r="N5" s="88">
        <v>5550907.5664999997</v>
      </c>
      <c r="O5" s="107">
        <f t="shared" si="0"/>
        <v>5550907.5664999997</v>
      </c>
    </row>
    <row r="6" spans="1:17">
      <c r="A6" s="86" t="s">
        <v>124</v>
      </c>
      <c r="B6" s="86" t="s">
        <v>124</v>
      </c>
      <c r="C6" s="86" t="s">
        <v>52</v>
      </c>
      <c r="D6" s="86" t="s">
        <v>127</v>
      </c>
      <c r="E6" s="86" t="s">
        <v>126</v>
      </c>
      <c r="F6" s="86" t="s">
        <v>125</v>
      </c>
      <c r="I6" s="86" t="s">
        <v>42</v>
      </c>
      <c r="J6" s="86" t="s">
        <v>43</v>
      </c>
      <c r="K6" s="86" t="s">
        <v>37</v>
      </c>
      <c r="L6" s="108">
        <v>-295024.02</v>
      </c>
      <c r="M6" s="86" t="s">
        <v>37</v>
      </c>
      <c r="N6" s="88">
        <v>5255883.5465000002</v>
      </c>
      <c r="O6" s="107">
        <f t="shared" si="0"/>
        <v>5255883.5464999992</v>
      </c>
    </row>
    <row r="7" spans="1:17">
      <c r="A7" s="86" t="s">
        <v>124</v>
      </c>
      <c r="B7" s="86" t="s">
        <v>124</v>
      </c>
      <c r="C7" s="86" t="s">
        <v>52</v>
      </c>
      <c r="D7" s="86" t="s">
        <v>123</v>
      </c>
      <c r="E7" s="86" t="s">
        <v>122</v>
      </c>
      <c r="F7" s="86" t="s">
        <v>121</v>
      </c>
      <c r="I7" s="86" t="s">
        <v>44</v>
      </c>
      <c r="J7" s="86" t="s">
        <v>45</v>
      </c>
      <c r="K7" s="86" t="s">
        <v>37</v>
      </c>
      <c r="L7" s="108">
        <v>-512189</v>
      </c>
      <c r="M7" s="86" t="s">
        <v>37</v>
      </c>
      <c r="N7" s="88">
        <v>4743694.5465000002</v>
      </c>
      <c r="O7" s="107">
        <f t="shared" si="0"/>
        <v>4743694.5465000002</v>
      </c>
    </row>
    <row r="8" spans="1:17">
      <c r="A8" s="86" t="s">
        <v>124</v>
      </c>
      <c r="B8" s="86" t="s">
        <v>124</v>
      </c>
      <c r="C8" s="86" t="s">
        <v>52</v>
      </c>
      <c r="D8" s="86" t="s">
        <v>123</v>
      </c>
      <c r="E8" s="86" t="s">
        <v>122</v>
      </c>
      <c r="F8" s="86" t="s">
        <v>121</v>
      </c>
      <c r="I8" s="86" t="s">
        <v>35</v>
      </c>
      <c r="J8" s="86" t="s">
        <v>36</v>
      </c>
      <c r="K8" s="86" t="s">
        <v>37</v>
      </c>
      <c r="L8" s="108">
        <v>29580</v>
      </c>
      <c r="M8" s="86" t="s">
        <v>37</v>
      </c>
      <c r="N8" s="88">
        <v>4773274.5465000002</v>
      </c>
      <c r="O8" s="107">
        <f t="shared" si="0"/>
        <v>4773274.5465000002</v>
      </c>
    </row>
    <row r="9" spans="1:17">
      <c r="A9" s="86" t="s">
        <v>117</v>
      </c>
      <c r="B9" s="86" t="s">
        <v>117</v>
      </c>
      <c r="C9" s="86" t="s">
        <v>52</v>
      </c>
      <c r="D9" s="86" t="s">
        <v>120</v>
      </c>
      <c r="E9" s="86" t="s">
        <v>119</v>
      </c>
      <c r="F9" s="86" t="s">
        <v>118</v>
      </c>
      <c r="I9" s="86" t="s">
        <v>38</v>
      </c>
      <c r="J9" s="86" t="s">
        <v>39</v>
      </c>
      <c r="K9" s="86" t="s">
        <v>37</v>
      </c>
      <c r="L9" s="108">
        <v>-179000</v>
      </c>
      <c r="M9" s="86" t="s">
        <v>37</v>
      </c>
      <c r="N9" s="88">
        <v>4594274.5465000002</v>
      </c>
      <c r="O9" s="107">
        <f t="shared" si="0"/>
        <v>4594274.5465000002</v>
      </c>
    </row>
    <row r="10" spans="1:17">
      <c r="A10" s="86" t="s">
        <v>117</v>
      </c>
      <c r="B10" s="86" t="s">
        <v>117</v>
      </c>
      <c r="C10" s="86" t="s">
        <v>52</v>
      </c>
      <c r="D10" s="86" t="s">
        <v>116</v>
      </c>
      <c r="E10" s="86" t="s">
        <v>115</v>
      </c>
      <c r="F10" s="86" t="s">
        <v>114</v>
      </c>
      <c r="I10" s="86" t="s">
        <v>113</v>
      </c>
      <c r="J10" s="86" t="s">
        <v>112</v>
      </c>
      <c r="K10" s="86" t="s">
        <v>37</v>
      </c>
      <c r="L10" s="109">
        <v>-11919.2</v>
      </c>
      <c r="M10" s="86" t="s">
        <v>37</v>
      </c>
      <c r="N10" s="88">
        <v>4582355.3465</v>
      </c>
      <c r="O10" s="107">
        <f t="shared" si="0"/>
        <v>4582355.3465</v>
      </c>
    </row>
    <row r="11" spans="1:17">
      <c r="A11" s="86" t="s">
        <v>111</v>
      </c>
      <c r="B11" s="86" t="s">
        <v>111</v>
      </c>
      <c r="C11" s="86" t="s">
        <v>52</v>
      </c>
      <c r="D11" s="86" t="s">
        <v>110</v>
      </c>
      <c r="E11" s="86" t="s">
        <v>109</v>
      </c>
      <c r="F11" s="86" t="s">
        <v>108</v>
      </c>
      <c r="I11" s="86" t="s">
        <v>44</v>
      </c>
      <c r="J11" s="86" t="s">
        <v>45</v>
      </c>
      <c r="K11" s="86" t="s">
        <v>37</v>
      </c>
      <c r="L11" s="108">
        <v>-1063013</v>
      </c>
      <c r="M11" s="86" t="s">
        <v>37</v>
      </c>
      <c r="N11" s="88">
        <v>3519342.3465</v>
      </c>
      <c r="O11" s="107">
        <f t="shared" si="0"/>
        <v>3519342.3465</v>
      </c>
    </row>
    <row r="12" spans="1:17">
      <c r="A12" s="86" t="s">
        <v>107</v>
      </c>
      <c r="B12" s="86" t="s">
        <v>107</v>
      </c>
      <c r="C12" s="86" t="s">
        <v>52</v>
      </c>
      <c r="D12" s="86" t="s">
        <v>106</v>
      </c>
      <c r="E12" s="86" t="s">
        <v>105</v>
      </c>
      <c r="F12" s="86" t="s">
        <v>104</v>
      </c>
      <c r="I12" s="86" t="s">
        <v>55</v>
      </c>
      <c r="J12" s="86" t="s">
        <v>54</v>
      </c>
      <c r="K12" s="86" t="s">
        <v>37</v>
      </c>
      <c r="L12" s="108">
        <v>8000</v>
      </c>
      <c r="M12" s="86" t="s">
        <v>37</v>
      </c>
      <c r="N12" s="88">
        <v>3527342.3465</v>
      </c>
      <c r="O12" s="107">
        <f t="shared" si="0"/>
        <v>3527342.3465</v>
      </c>
    </row>
    <row r="13" spans="1:17">
      <c r="A13" s="86" t="s">
        <v>81</v>
      </c>
      <c r="B13" s="86" t="s">
        <v>81</v>
      </c>
      <c r="C13" s="86" t="s">
        <v>52</v>
      </c>
      <c r="D13" s="86" t="s">
        <v>103</v>
      </c>
      <c r="E13" s="86" t="s">
        <v>102</v>
      </c>
      <c r="F13" s="86" t="s">
        <v>101</v>
      </c>
      <c r="I13" s="86" t="s">
        <v>58</v>
      </c>
      <c r="J13" s="86" t="s">
        <v>57</v>
      </c>
      <c r="K13" s="86" t="s">
        <v>37</v>
      </c>
      <c r="L13" s="108">
        <v>-285784</v>
      </c>
      <c r="M13" s="86" t="s">
        <v>37</v>
      </c>
      <c r="N13" s="88">
        <v>3241558.3465</v>
      </c>
      <c r="O13" s="107">
        <f t="shared" si="0"/>
        <v>3241558.3465</v>
      </c>
    </row>
    <row r="14" spans="1:17">
      <c r="A14" s="86" t="s">
        <v>81</v>
      </c>
      <c r="B14" s="86" t="s">
        <v>81</v>
      </c>
      <c r="C14" s="86" t="s">
        <v>52</v>
      </c>
      <c r="D14" s="86" t="s">
        <v>100</v>
      </c>
      <c r="E14" s="86" t="s">
        <v>99</v>
      </c>
      <c r="F14" s="86" t="s">
        <v>98</v>
      </c>
      <c r="G14" s="86" t="s">
        <v>97</v>
      </c>
      <c r="I14" s="86" t="s">
        <v>47</v>
      </c>
      <c r="J14" s="86" t="s">
        <v>48</v>
      </c>
      <c r="K14" s="86" t="s">
        <v>37</v>
      </c>
      <c r="L14" s="108">
        <v>-864880</v>
      </c>
      <c r="M14" s="86" t="s">
        <v>37</v>
      </c>
      <c r="N14" s="88">
        <v>2376678.3465</v>
      </c>
      <c r="O14" s="107">
        <f t="shared" si="0"/>
        <v>2376678.3465</v>
      </c>
    </row>
    <row r="15" spans="1:17">
      <c r="A15" s="86" t="s">
        <v>81</v>
      </c>
      <c r="B15" s="86" t="s">
        <v>81</v>
      </c>
      <c r="C15" s="86" t="s">
        <v>52</v>
      </c>
      <c r="D15" s="86" t="s">
        <v>96</v>
      </c>
      <c r="E15" s="86" t="s">
        <v>95</v>
      </c>
      <c r="F15" s="86" t="s">
        <v>94</v>
      </c>
      <c r="I15" s="86" t="s">
        <v>93</v>
      </c>
      <c r="J15" s="86" t="s">
        <v>92</v>
      </c>
      <c r="K15" s="86" t="s">
        <v>37</v>
      </c>
      <c r="L15" s="108">
        <v>-1357794.8244</v>
      </c>
      <c r="M15" s="86" t="s">
        <v>37</v>
      </c>
      <c r="N15" s="88">
        <v>1018883.5220999999</v>
      </c>
      <c r="O15" s="107">
        <f t="shared" si="0"/>
        <v>1018883.5220999999</v>
      </c>
    </row>
    <row r="16" spans="1:17">
      <c r="A16" s="86" t="s">
        <v>81</v>
      </c>
      <c r="B16" s="86" t="s">
        <v>81</v>
      </c>
      <c r="C16" s="86" t="s">
        <v>52</v>
      </c>
      <c r="D16" s="86" t="s">
        <v>91</v>
      </c>
      <c r="E16" s="86" t="s">
        <v>90</v>
      </c>
      <c r="F16" s="86" t="s">
        <v>65</v>
      </c>
      <c r="I16" s="86" t="s">
        <v>64</v>
      </c>
      <c r="J16" s="86" t="s">
        <v>63</v>
      </c>
      <c r="K16" s="86" t="s">
        <v>37</v>
      </c>
      <c r="L16" s="108">
        <v>-804115.89399999997</v>
      </c>
      <c r="M16" s="86" t="s">
        <v>37</v>
      </c>
      <c r="N16" s="88">
        <v>214767.6281</v>
      </c>
      <c r="O16" s="107">
        <f t="shared" si="0"/>
        <v>214767.62809999997</v>
      </c>
    </row>
    <row r="17" spans="1:15">
      <c r="A17" s="86" t="s">
        <v>81</v>
      </c>
      <c r="B17" s="86" t="s">
        <v>81</v>
      </c>
      <c r="C17" s="86" t="s">
        <v>52</v>
      </c>
      <c r="D17" s="86" t="s">
        <v>89</v>
      </c>
      <c r="E17" s="86" t="s">
        <v>88</v>
      </c>
      <c r="F17" s="86" t="s">
        <v>87</v>
      </c>
      <c r="I17" s="86" t="s">
        <v>86</v>
      </c>
      <c r="J17" s="86" t="s">
        <v>85</v>
      </c>
      <c r="K17" s="86" t="s">
        <v>37</v>
      </c>
      <c r="L17" s="108">
        <v>-92533.785699999993</v>
      </c>
      <c r="M17" s="86" t="s">
        <v>37</v>
      </c>
      <c r="N17" s="88">
        <v>122233.84239999999</v>
      </c>
      <c r="O17" s="107">
        <f t="shared" si="0"/>
        <v>122233.84240000001</v>
      </c>
    </row>
    <row r="18" spans="1:15">
      <c r="A18" s="86" t="s">
        <v>81</v>
      </c>
      <c r="B18" s="86" t="s">
        <v>81</v>
      </c>
      <c r="C18" s="86" t="s">
        <v>52</v>
      </c>
      <c r="D18" s="86" t="s">
        <v>84</v>
      </c>
      <c r="E18" s="86" t="s">
        <v>83</v>
      </c>
      <c r="F18" s="86" t="s">
        <v>82</v>
      </c>
      <c r="I18" s="86" t="s">
        <v>62</v>
      </c>
      <c r="J18" s="86" t="s">
        <v>61</v>
      </c>
      <c r="K18" s="86" t="s">
        <v>37</v>
      </c>
      <c r="L18" s="108">
        <v>-49000</v>
      </c>
      <c r="M18" s="86" t="s">
        <v>37</v>
      </c>
      <c r="N18" s="88">
        <v>73233.842399999994</v>
      </c>
      <c r="O18" s="107">
        <f t="shared" si="0"/>
        <v>73233.842399999994</v>
      </c>
    </row>
    <row r="19" spans="1:15">
      <c r="A19" s="86" t="s">
        <v>81</v>
      </c>
      <c r="B19" s="86" t="s">
        <v>81</v>
      </c>
      <c r="C19" s="86" t="s">
        <v>53</v>
      </c>
      <c r="D19" s="86" t="s">
        <v>80</v>
      </c>
      <c r="E19" s="86" t="s">
        <v>79</v>
      </c>
      <c r="F19" s="86" t="s">
        <v>78</v>
      </c>
      <c r="I19" s="86" t="s">
        <v>60</v>
      </c>
      <c r="J19" s="86" t="s">
        <v>59</v>
      </c>
      <c r="K19" s="86" t="s">
        <v>37</v>
      </c>
      <c r="L19" s="108">
        <v>22300000</v>
      </c>
      <c r="M19" s="86" t="s">
        <v>37</v>
      </c>
      <c r="N19" s="88">
        <v>22373233.842399999</v>
      </c>
      <c r="O19" s="107">
        <f t="shared" si="0"/>
        <v>22373233.842399999</v>
      </c>
    </row>
    <row r="20" spans="1:15">
      <c r="A20" s="86" t="s">
        <v>77</v>
      </c>
      <c r="B20" s="86" t="s">
        <v>77</v>
      </c>
      <c r="C20" s="86" t="s">
        <v>52</v>
      </c>
      <c r="D20" s="86" t="s">
        <v>76</v>
      </c>
      <c r="E20" s="86" t="s">
        <v>75</v>
      </c>
      <c r="F20" s="86" t="s">
        <v>74</v>
      </c>
      <c r="I20" s="86" t="s">
        <v>38</v>
      </c>
      <c r="J20" s="86" t="s">
        <v>39</v>
      </c>
      <c r="K20" s="86" t="s">
        <v>37</v>
      </c>
      <c r="L20" s="108">
        <v>-306000</v>
      </c>
      <c r="M20" s="86" t="s">
        <v>37</v>
      </c>
      <c r="N20" s="88">
        <v>22067233.842399999</v>
      </c>
      <c r="O20" s="107">
        <f t="shared" si="0"/>
        <v>22067233.842399999</v>
      </c>
    </row>
    <row r="21" spans="1:15">
      <c r="A21" s="86" t="s">
        <v>70</v>
      </c>
      <c r="B21" s="86" t="s">
        <v>70</v>
      </c>
      <c r="C21" s="86" t="s">
        <v>52</v>
      </c>
      <c r="D21" s="86" t="s">
        <v>73</v>
      </c>
      <c r="E21" s="86" t="s">
        <v>72</v>
      </c>
      <c r="F21" s="86" t="s">
        <v>71</v>
      </c>
      <c r="I21" s="86" t="s">
        <v>44</v>
      </c>
      <c r="J21" s="86" t="s">
        <v>45</v>
      </c>
      <c r="K21" s="86" t="s">
        <v>37</v>
      </c>
      <c r="L21" s="108">
        <v>-399210</v>
      </c>
      <c r="M21" s="86" t="s">
        <v>37</v>
      </c>
      <c r="N21" s="88">
        <v>21668023.842399999</v>
      </c>
      <c r="O21" s="107">
        <f>N20+L21</f>
        <v>21668023.842399999</v>
      </c>
    </row>
    <row r="22" spans="1:15">
      <c r="A22" s="86" t="s">
        <v>70</v>
      </c>
      <c r="B22" s="86" t="s">
        <v>70</v>
      </c>
      <c r="C22" s="86" t="s">
        <v>52</v>
      </c>
      <c r="D22" s="86" t="s">
        <v>69</v>
      </c>
      <c r="E22" s="86" t="s">
        <v>68</v>
      </c>
      <c r="F22" s="86" t="s">
        <v>67</v>
      </c>
      <c r="I22" s="86" t="s">
        <v>44</v>
      </c>
      <c r="J22" s="86" t="s">
        <v>45</v>
      </c>
      <c r="K22" s="86" t="s">
        <v>37</v>
      </c>
      <c r="L22" s="108">
        <v>-18784419</v>
      </c>
      <c r="M22" s="86" t="s">
        <v>37</v>
      </c>
      <c r="N22" s="88">
        <v>2883604.8424</v>
      </c>
      <c r="O22" s="107">
        <f t="shared" si="0"/>
        <v>2883604.8423999995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RECON FORMAT</vt:lpstr>
      <vt:lpstr>May-26</vt:lpstr>
      <vt:lpstr>'RECON FORMAT'!Print_Area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2026-06-27T07:46:36Z</dcterms:modified>
</cp:coreProperties>
</file>